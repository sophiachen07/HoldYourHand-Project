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codeName="ThisWorkbook" autoCompressPictures="0"/>
  <xr:revisionPtr revIDLastSave="0" documentId="13_ncr:1_{E3E48238-84F9-40DC-B8B5-F55B22DA98C2}" xr6:coauthVersionLast="47" xr6:coauthVersionMax="47" xr10:uidLastSave="{00000000-0000-0000-0000-000000000000}"/>
  <bookViews>
    <workbookView xWindow="-108" yWindow="-108" windowWidth="23256" windowHeight="12456" tabRatio="741" xr2:uid="{00000000-000D-0000-FFFF-FFFF00000000}"/>
  </bookViews>
  <sheets>
    <sheet name="7月" sheetId="21" r:id="rId1"/>
    <sheet name="8月" sheetId="22" r:id="rId2"/>
    <sheet name="9月" sheetId="23" r:id="rId3"/>
    <sheet name="10月" sheetId="24" r:id="rId4"/>
    <sheet name="11月" sheetId="25" r:id="rId5"/>
    <sheet name="12月" sheetId="26" r:id="rId6"/>
    <sheet name="1月" sheetId="1" state="hidden" r:id="rId7"/>
    <sheet name="2月" sheetId="6" state="hidden" r:id="rId8"/>
    <sheet name="3月" sheetId="17" state="hidden" r:id="rId9"/>
    <sheet name="4月" sheetId="18" state="hidden" r:id="rId10"/>
    <sheet name="5月" sheetId="19" state="hidden" r:id="rId11"/>
    <sheet name="6月" sheetId="20" state="hidden" r:id="rId12"/>
  </sheets>
  <definedNames>
    <definedName name="AprSun1">DATE(行事曆年份,4,1)-WEEKDAY(DATE(行事曆年份,4,1))</definedName>
    <definedName name="AugSun1">DATE(行事曆年份,8,1)-WEEKDAY(DATE(行事曆年份,8,1))</definedName>
    <definedName name="DecSun1">DATE(行事曆年份,12,1)-WEEKDAY(DATE(行事曆年份,12,1))</definedName>
    <definedName name="FebSun1">DATE(行事曆年份,2,1)-WEEKDAY(DATE(行事曆年份,2,1))</definedName>
    <definedName name="JanSun1">DATE(行事曆年份,1,1)-WEEKDAY(DATE(行事曆年份,1,1))</definedName>
    <definedName name="JulSun1">DATE(行事曆年份,7,1)-WEEKDAY(DATE(行事曆年份,7,1))</definedName>
    <definedName name="JunSun1">DATE(行事曆年份,6,1)-WEEKDAY(DATE(行事曆年份,6,1))</definedName>
    <definedName name="MarSun1">DATE(行事曆年份,3,1)-WEEKDAY(DATE(行事曆年份,3,1))</definedName>
    <definedName name="MaySun1">DATE(行事曆年份,5,1)-WEEKDAY(DATE(行事曆年份,5,1))</definedName>
    <definedName name="NovSun1">DATE(行事曆年份,11,1)-WEEKDAY(DATE(行事曆年份,11,1))</definedName>
    <definedName name="OctSun1">DATE(行事曆年份,10,1)-WEEKDAY(DATE(行事曆年份,10,1))</definedName>
    <definedName name="SepSun1">DATE(行事曆年份,9,1)-WEEKDAY(DATE(行事曆年份,9,1))</definedName>
    <definedName name="行事曆年份">'1月'!$B$1</definedName>
    <definedName name="作業日期" localSheetId="3">'10月'!$M$2:$M$43</definedName>
    <definedName name="作業日期" localSheetId="4">'11月'!$M$2:$M$43</definedName>
    <definedName name="作業日期" localSheetId="5">'12月'!$M$2:$M$43</definedName>
    <definedName name="作業日期" localSheetId="7">'2月'!$K$2:$K$31</definedName>
    <definedName name="作業日期" localSheetId="8">'3月'!$K$2:$K$31</definedName>
    <definedName name="作業日期" localSheetId="9">'4月'!$K$2:$K$31</definedName>
    <definedName name="作業日期" localSheetId="10">'5月'!$K$2:$K$31</definedName>
    <definedName name="作業日期" localSheetId="11">'6月'!$K$2:$K$31</definedName>
    <definedName name="作業日期" localSheetId="0">'7月'!$M$2:$M$43</definedName>
    <definedName name="作業日期" localSheetId="1">'8月'!$M$2:$M$43</definedName>
    <definedName name="作業日期" localSheetId="2">'9月'!$M$2:$M$43</definedName>
    <definedName name="作業日期">'1月'!$K$2:$K$31</definedName>
    <definedName name="重要日期表格" localSheetId="3">'10月'!$M$2:$N$6</definedName>
    <definedName name="重要日期表格" localSheetId="4">'11月'!$M$2:$N$6</definedName>
    <definedName name="重要日期表格" localSheetId="5">'12月'!$M$2:$N$6</definedName>
    <definedName name="重要日期表格" localSheetId="7">'2月'!$K$2:$L$6</definedName>
    <definedName name="重要日期表格" localSheetId="8">'3月'!$K$2:$L$6</definedName>
    <definedName name="重要日期表格" localSheetId="9">'4月'!$K$2:$L$6</definedName>
    <definedName name="重要日期表格" localSheetId="10">'5月'!$K$2:$L$6</definedName>
    <definedName name="重要日期表格" localSheetId="11">'6月'!$K$2:$L$6</definedName>
    <definedName name="重要日期表格" localSheetId="0">'7月'!$M$2:$N$6</definedName>
    <definedName name="重要日期表格" localSheetId="1">'8月'!$M$2:$N$6</definedName>
    <definedName name="重要日期表格" localSheetId="2">'9月'!$M$2:$N$6</definedName>
    <definedName name="重要日期表格">'1月'!$K$2:$L$6</definedName>
    <definedName name="標題區域2..I31.1">'1月'!$A$11</definedName>
    <definedName name="標題區域2..I31.10">'10月'!$A$11</definedName>
    <definedName name="標題區域2..I31.11">'11月'!$A$11</definedName>
    <definedName name="標題區域2..I31.12">'12月'!$A$11</definedName>
    <definedName name="標題區域2..I31.2">'2月'!$A$11</definedName>
    <definedName name="標題區域2..I31.3">'3月'!$A$11</definedName>
    <definedName name="標題區域2..I31.4">'4月'!$A$11</definedName>
    <definedName name="標題區域2..I31.5">'5月'!$A$11</definedName>
    <definedName name="標題區域2..I31.6">'6月'!$A$11</definedName>
    <definedName name="標題區域2..I31.7">'7月'!$A$11</definedName>
    <definedName name="標題區域2..I31.8">'8月'!$A$11</definedName>
    <definedName name="標題區域2..I31.9">'9月'!$A$11</definedName>
    <definedName name="欄標題1">_1_月作業[[#Headers],[星期幾]]</definedName>
    <definedName name="欄標題10">_10_月作業[[#Headers],[星期幾]]</definedName>
    <definedName name="欄標題11">_11_月作業[[#Headers],[星期幾]]</definedName>
    <definedName name="欄標題12">_12_月作業[[#Headers],[星期幾]]</definedName>
    <definedName name="欄標題2">_2_月作業[[#Headers],[星期幾]]</definedName>
    <definedName name="欄標題3">_3_月作業[[#Headers],[星期幾]]</definedName>
    <definedName name="欄標題4">_4_月作業[[#Headers],[星期幾]]</definedName>
    <definedName name="欄標題5">_5_月作業[[#Headers],[星期幾]]</definedName>
    <definedName name="欄標題6">_6_月作業[[#Headers],[星期幾]]</definedName>
    <definedName name="欄標題7">_7_月作業[[#Headers],[星期幾]]</definedName>
    <definedName name="欄標題8">_8_月作業[[#Headers],[星期幾]]</definedName>
    <definedName name="欄標題9">_9_月作業[[#Headers],[星期幾]]</definedName>
    <definedName name="欄標題區域1..I8.1">'1月'!$C$2</definedName>
    <definedName name="欄標題區域1..I8.10">'10月'!$C$2</definedName>
    <definedName name="欄標題區域1..I8.11">'11月'!$C$2</definedName>
    <definedName name="欄標題區域1..I8.12">'12月'!$C$2</definedName>
    <definedName name="欄標題區域1..I8.2">'2月'!$C$2</definedName>
    <definedName name="欄標題區域1..I8.3">'3月'!$C$2</definedName>
    <definedName name="欄標題區域1..I8.4">'4月'!$C$2</definedName>
    <definedName name="欄標題區域1..I8.5">'5月'!$C$2</definedName>
    <definedName name="欄標題區域1..I8.6">'6月'!$C$2</definedName>
    <definedName name="欄標題區域1..I8.7">'7月'!$C$2</definedName>
    <definedName name="欄標題區域1..I8.8">'8月'!$C$2</definedName>
    <definedName name="欄標題區域1..I8.9">'9月'!$C$2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" i="1" l="1"/>
  <c r="E4" i="21"/>
  <c r="B1" i="6"/>
  <c r="B1" i="17"/>
  <c r="B1" i="18"/>
  <c r="B1" i="19"/>
  <c r="B1" i="20"/>
  <c r="B1" i="21"/>
  <c r="B1" i="22"/>
  <c r="B1" i="23"/>
  <c r="B1" i="24"/>
  <c r="B1" i="25"/>
  <c r="B1" i="26"/>
  <c r="C3" i="1"/>
  <c r="I8" i="26" l="1"/>
  <c r="E8" i="26"/>
  <c r="H7" i="26"/>
  <c r="D7" i="26"/>
  <c r="G6" i="26"/>
  <c r="C6" i="26"/>
  <c r="F5" i="26"/>
  <c r="I4" i="26"/>
  <c r="E4" i="26"/>
  <c r="H3" i="26"/>
  <c r="D3" i="26"/>
  <c r="E7" i="26"/>
  <c r="G5" i="26"/>
  <c r="F4" i="26"/>
  <c r="H8" i="26"/>
  <c r="D8" i="26"/>
  <c r="G7" i="26"/>
  <c r="C7" i="26"/>
  <c r="F6" i="26"/>
  <c r="I5" i="26"/>
  <c r="E5" i="26"/>
  <c r="H4" i="26"/>
  <c r="D4" i="26"/>
  <c r="G3" i="26"/>
  <c r="C3" i="26"/>
  <c r="D6" i="26"/>
  <c r="E3" i="26"/>
  <c r="G8" i="26"/>
  <c r="C8" i="26"/>
  <c r="F7" i="26"/>
  <c r="I6" i="26"/>
  <c r="E6" i="26"/>
  <c r="H5" i="26"/>
  <c r="D5" i="26"/>
  <c r="G4" i="26"/>
  <c r="C4" i="26"/>
  <c r="F3" i="26"/>
  <c r="F8" i="26"/>
  <c r="I7" i="26"/>
  <c r="H6" i="26"/>
  <c r="C5" i="26"/>
  <c r="I3" i="26"/>
  <c r="I8" i="25"/>
  <c r="E8" i="25"/>
  <c r="H7" i="25"/>
  <c r="D7" i="25"/>
  <c r="G6" i="25"/>
  <c r="C6" i="25"/>
  <c r="F5" i="25"/>
  <c r="I4" i="25"/>
  <c r="E4" i="25"/>
  <c r="H3" i="25"/>
  <c r="D3" i="25"/>
  <c r="I7" i="25"/>
  <c r="D6" i="25"/>
  <c r="C5" i="25"/>
  <c r="E3" i="25"/>
  <c r="H8" i="25"/>
  <c r="D8" i="25"/>
  <c r="G7" i="25"/>
  <c r="C7" i="25"/>
  <c r="F6" i="25"/>
  <c r="I5" i="25"/>
  <c r="E5" i="25"/>
  <c r="H4" i="25"/>
  <c r="D4" i="25"/>
  <c r="G3" i="25"/>
  <c r="C3" i="25"/>
  <c r="H6" i="25"/>
  <c r="F4" i="25"/>
  <c r="G8" i="25"/>
  <c r="C8" i="25"/>
  <c r="F7" i="25"/>
  <c r="I6" i="25"/>
  <c r="E6" i="25"/>
  <c r="H5" i="25"/>
  <c r="D5" i="25"/>
  <c r="G4" i="25"/>
  <c r="C4" i="25"/>
  <c r="F3" i="25"/>
  <c r="F8" i="25"/>
  <c r="E7" i="25"/>
  <c r="G5" i="25"/>
  <c r="I3" i="25"/>
  <c r="I8" i="24"/>
  <c r="E8" i="24"/>
  <c r="H7" i="24"/>
  <c r="D7" i="24"/>
  <c r="G6" i="24"/>
  <c r="C6" i="24"/>
  <c r="F5" i="24"/>
  <c r="I4" i="24"/>
  <c r="E4" i="24"/>
  <c r="H3" i="24"/>
  <c r="D3" i="24"/>
  <c r="C8" i="24"/>
  <c r="I6" i="24"/>
  <c r="H5" i="24"/>
  <c r="G4" i="24"/>
  <c r="F3" i="24"/>
  <c r="I7" i="24"/>
  <c r="H6" i="24"/>
  <c r="G5" i="24"/>
  <c r="F4" i="24"/>
  <c r="E3" i="24"/>
  <c r="H8" i="24"/>
  <c r="D8" i="24"/>
  <c r="G7" i="24"/>
  <c r="C7" i="24"/>
  <c r="F6" i="24"/>
  <c r="I5" i="24"/>
  <c r="E5" i="24"/>
  <c r="H4" i="24"/>
  <c r="D4" i="24"/>
  <c r="G3" i="24"/>
  <c r="C3" i="24"/>
  <c r="G8" i="24"/>
  <c r="F7" i="24"/>
  <c r="E6" i="24"/>
  <c r="D5" i="24"/>
  <c r="C4" i="24"/>
  <c r="F8" i="24"/>
  <c r="E7" i="24"/>
  <c r="D6" i="24"/>
  <c r="C5" i="24"/>
  <c r="I3" i="24"/>
  <c r="I8" i="23"/>
  <c r="E8" i="23"/>
  <c r="H7" i="23"/>
  <c r="D7" i="23"/>
  <c r="G6" i="23"/>
  <c r="C6" i="23"/>
  <c r="F5" i="23"/>
  <c r="I4" i="23"/>
  <c r="E4" i="23"/>
  <c r="H3" i="23"/>
  <c r="D3" i="23"/>
  <c r="I7" i="23"/>
  <c r="G5" i="23"/>
  <c r="E3" i="23"/>
  <c r="H8" i="23"/>
  <c r="D8" i="23"/>
  <c r="G7" i="23"/>
  <c r="C7" i="23"/>
  <c r="F6" i="23"/>
  <c r="I5" i="23"/>
  <c r="E5" i="23"/>
  <c r="H4" i="23"/>
  <c r="D4" i="23"/>
  <c r="G3" i="23"/>
  <c r="C3" i="23"/>
  <c r="E7" i="23"/>
  <c r="C5" i="23"/>
  <c r="I3" i="23"/>
  <c r="G8" i="23"/>
  <c r="C8" i="23"/>
  <c r="F7" i="23"/>
  <c r="I6" i="23"/>
  <c r="E6" i="23"/>
  <c r="H5" i="23"/>
  <c r="D5" i="23"/>
  <c r="G4" i="23"/>
  <c r="C4" i="23"/>
  <c r="F3" i="23"/>
  <c r="F8" i="23"/>
  <c r="H6" i="23"/>
  <c r="D6" i="23"/>
  <c r="F4" i="23"/>
  <c r="I8" i="22"/>
  <c r="E8" i="22"/>
  <c r="H7" i="22"/>
  <c r="D7" i="22"/>
  <c r="G6" i="22"/>
  <c r="C6" i="22"/>
  <c r="F5" i="22"/>
  <c r="I4" i="22"/>
  <c r="E4" i="22"/>
  <c r="H3" i="22"/>
  <c r="D3" i="22"/>
  <c r="H8" i="22"/>
  <c r="D8" i="22"/>
  <c r="G7" i="22"/>
  <c r="C7" i="22"/>
  <c r="F6" i="22"/>
  <c r="I5" i="22"/>
  <c r="E5" i="22"/>
  <c r="H4" i="22"/>
  <c r="D4" i="22"/>
  <c r="G3" i="22"/>
  <c r="C3" i="22"/>
  <c r="G8" i="22"/>
  <c r="C8" i="22"/>
  <c r="F7" i="22"/>
  <c r="I6" i="22"/>
  <c r="E6" i="22"/>
  <c r="H5" i="22"/>
  <c r="D5" i="22"/>
  <c r="G4" i="22"/>
  <c r="C4" i="22"/>
  <c r="F3" i="22"/>
  <c r="F8" i="22"/>
  <c r="I7" i="22"/>
  <c r="E7" i="22"/>
  <c r="H6" i="22"/>
  <c r="D6" i="22"/>
  <c r="G5" i="22"/>
  <c r="C5" i="22"/>
  <c r="F4" i="22"/>
  <c r="I3" i="22"/>
  <c r="E3" i="22"/>
  <c r="I8" i="21"/>
  <c r="E8" i="21"/>
  <c r="H7" i="21"/>
  <c r="D7" i="21"/>
  <c r="G6" i="21"/>
  <c r="C6" i="21"/>
  <c r="F5" i="21"/>
  <c r="I4" i="21"/>
  <c r="H3" i="21"/>
  <c r="D3" i="21"/>
  <c r="C8" i="21"/>
  <c r="I6" i="21"/>
  <c r="H5" i="21"/>
  <c r="G4" i="21"/>
  <c r="F3" i="21"/>
  <c r="H8" i="21"/>
  <c r="D8" i="21"/>
  <c r="G7" i="21"/>
  <c r="C7" i="21"/>
  <c r="F6" i="21"/>
  <c r="I5" i="21"/>
  <c r="E5" i="21"/>
  <c r="H4" i="21"/>
  <c r="D4" i="21"/>
  <c r="G3" i="21"/>
  <c r="C3" i="21"/>
  <c r="F7" i="21"/>
  <c r="E6" i="21"/>
  <c r="D5" i="21"/>
  <c r="C4" i="21"/>
  <c r="G8" i="21"/>
  <c r="F8" i="21"/>
  <c r="I7" i="21"/>
  <c r="E7" i="21"/>
  <c r="H6" i="21"/>
  <c r="D6" i="21"/>
  <c r="G5" i="21"/>
  <c r="C5" i="21"/>
  <c r="F4" i="21"/>
  <c r="I3" i="21"/>
  <c r="E3" i="21"/>
  <c r="I8" i="20"/>
  <c r="E8" i="20"/>
  <c r="H7" i="20"/>
  <c r="D7" i="20"/>
  <c r="G6" i="20"/>
  <c r="C6" i="20"/>
  <c r="F5" i="20"/>
  <c r="I4" i="20"/>
  <c r="E4" i="20"/>
  <c r="H3" i="20"/>
  <c r="D3" i="20"/>
  <c r="E7" i="20"/>
  <c r="D6" i="20"/>
  <c r="F4" i="20"/>
  <c r="H8" i="20"/>
  <c r="D8" i="20"/>
  <c r="G7" i="20"/>
  <c r="C7" i="20"/>
  <c r="F6" i="20"/>
  <c r="I5" i="20"/>
  <c r="E5" i="20"/>
  <c r="H4" i="20"/>
  <c r="D4" i="20"/>
  <c r="G3" i="20"/>
  <c r="C3" i="20"/>
  <c r="I7" i="20"/>
  <c r="G5" i="20"/>
  <c r="I3" i="20"/>
  <c r="G8" i="20"/>
  <c r="C8" i="20"/>
  <c r="F7" i="20"/>
  <c r="I6" i="20"/>
  <c r="E6" i="20"/>
  <c r="H5" i="20"/>
  <c r="D5" i="20"/>
  <c r="G4" i="20"/>
  <c r="C4" i="20"/>
  <c r="F3" i="20"/>
  <c r="F8" i="20"/>
  <c r="H6" i="20"/>
  <c r="C5" i="20"/>
  <c r="E3" i="20"/>
  <c r="I8" i="19"/>
  <c r="E8" i="19"/>
  <c r="H7" i="19"/>
  <c r="D7" i="19"/>
  <c r="G6" i="19"/>
  <c r="C6" i="19"/>
  <c r="F5" i="19"/>
  <c r="I4" i="19"/>
  <c r="E4" i="19"/>
  <c r="H3" i="19"/>
  <c r="D3" i="19"/>
  <c r="F4" i="19"/>
  <c r="E3" i="19"/>
  <c r="H8" i="19"/>
  <c r="D8" i="19"/>
  <c r="G7" i="19"/>
  <c r="C7" i="19"/>
  <c r="F6" i="19"/>
  <c r="I5" i="19"/>
  <c r="E5" i="19"/>
  <c r="H4" i="19"/>
  <c r="D4" i="19"/>
  <c r="G3" i="19"/>
  <c r="C3" i="19"/>
  <c r="C5" i="19"/>
  <c r="G8" i="19"/>
  <c r="C8" i="19"/>
  <c r="F7" i="19"/>
  <c r="I6" i="19"/>
  <c r="E6" i="19"/>
  <c r="H5" i="19"/>
  <c r="D5" i="19"/>
  <c r="G4" i="19"/>
  <c r="C4" i="19"/>
  <c r="F3" i="19"/>
  <c r="F8" i="19"/>
  <c r="I7" i="19"/>
  <c r="E7" i="19"/>
  <c r="H6" i="19"/>
  <c r="D6" i="19"/>
  <c r="G5" i="19"/>
  <c r="I3" i="19"/>
  <c r="I8" i="18"/>
  <c r="E8" i="18"/>
  <c r="H7" i="18"/>
  <c r="D7" i="18"/>
  <c r="G6" i="18"/>
  <c r="C6" i="18"/>
  <c r="F5" i="18"/>
  <c r="I4" i="18"/>
  <c r="E4" i="18"/>
  <c r="H3" i="18"/>
  <c r="D3" i="18"/>
  <c r="I7" i="18"/>
  <c r="D6" i="18"/>
  <c r="F4" i="18"/>
  <c r="H8" i="18"/>
  <c r="D8" i="18"/>
  <c r="G7" i="18"/>
  <c r="C7" i="18"/>
  <c r="F6" i="18"/>
  <c r="I5" i="18"/>
  <c r="E5" i="18"/>
  <c r="H4" i="18"/>
  <c r="D4" i="18"/>
  <c r="G3" i="18"/>
  <c r="C3" i="18"/>
  <c r="H6" i="18"/>
  <c r="C5" i="18"/>
  <c r="E3" i="18"/>
  <c r="G8" i="18"/>
  <c r="C8" i="18"/>
  <c r="F7" i="18"/>
  <c r="I6" i="18"/>
  <c r="E6" i="18"/>
  <c r="H5" i="18"/>
  <c r="D5" i="18"/>
  <c r="G4" i="18"/>
  <c r="C4" i="18"/>
  <c r="F3" i="18"/>
  <c r="F8" i="18"/>
  <c r="E7" i="18"/>
  <c r="G5" i="18"/>
  <c r="I3" i="18"/>
  <c r="I8" i="17"/>
  <c r="E8" i="17"/>
  <c r="H7" i="17"/>
  <c r="D7" i="17"/>
  <c r="G6" i="17"/>
  <c r="C6" i="17"/>
  <c r="F5" i="17"/>
  <c r="I4" i="17"/>
  <c r="E4" i="17"/>
  <c r="H3" i="17"/>
  <c r="D3" i="17"/>
  <c r="H8" i="17"/>
  <c r="D8" i="17"/>
  <c r="G7" i="17"/>
  <c r="C7" i="17"/>
  <c r="F6" i="17"/>
  <c r="I5" i="17"/>
  <c r="E5" i="17"/>
  <c r="H4" i="17"/>
  <c r="D4" i="17"/>
  <c r="G3" i="17"/>
  <c r="C3" i="17"/>
  <c r="G8" i="17"/>
  <c r="C8" i="17"/>
  <c r="F7" i="17"/>
  <c r="I6" i="17"/>
  <c r="E6" i="17"/>
  <c r="H5" i="17"/>
  <c r="D5" i="17"/>
  <c r="G4" i="17"/>
  <c r="C4" i="17"/>
  <c r="F3" i="17"/>
  <c r="F8" i="17"/>
  <c r="I7" i="17"/>
  <c r="E7" i="17"/>
  <c r="H6" i="17"/>
  <c r="D6" i="17"/>
  <c r="G5" i="17"/>
  <c r="C5" i="17"/>
  <c r="F4" i="17"/>
  <c r="I3" i="17"/>
  <c r="E3" i="17"/>
  <c r="I8" i="6" l="1"/>
  <c r="H8" i="6"/>
  <c r="G8" i="6"/>
  <c r="F8" i="6"/>
  <c r="E8" i="6"/>
  <c r="D8" i="6"/>
  <c r="C8" i="6"/>
  <c r="I7" i="6"/>
  <c r="H7" i="6"/>
  <c r="G7" i="6"/>
  <c r="F7" i="6"/>
  <c r="E7" i="6"/>
  <c r="D7" i="6"/>
  <c r="C7" i="6"/>
  <c r="I6" i="6"/>
  <c r="H6" i="6"/>
  <c r="G6" i="6"/>
  <c r="F6" i="6"/>
  <c r="E6" i="6"/>
  <c r="D6" i="6"/>
  <c r="C6" i="6"/>
  <c r="I5" i="6"/>
  <c r="H5" i="6"/>
  <c r="G5" i="6"/>
  <c r="F5" i="6"/>
  <c r="E5" i="6"/>
  <c r="D5" i="6"/>
  <c r="C5" i="6"/>
  <c r="I4" i="6"/>
  <c r="H4" i="6"/>
  <c r="G4" i="6"/>
  <c r="F4" i="6"/>
  <c r="E4" i="6"/>
  <c r="D4" i="6"/>
  <c r="C4" i="6"/>
  <c r="I3" i="6"/>
  <c r="H3" i="6"/>
  <c r="G3" i="6"/>
  <c r="F3" i="6"/>
  <c r="E3" i="6"/>
  <c r="D3" i="6"/>
  <c r="C3" i="6"/>
  <c r="H3" i="1"/>
  <c r="I8" i="1"/>
  <c r="H8" i="1"/>
  <c r="G8" i="1"/>
  <c r="F8" i="1"/>
  <c r="E8" i="1"/>
  <c r="D8" i="1"/>
  <c r="C8" i="1"/>
  <c r="I7" i="1"/>
  <c r="H7" i="1"/>
  <c r="G7" i="1"/>
  <c r="F7" i="1"/>
  <c r="E7" i="1"/>
  <c r="D7" i="1"/>
  <c r="C7" i="1"/>
  <c r="I6" i="1"/>
  <c r="H6" i="1"/>
  <c r="G6" i="1"/>
  <c r="F6" i="1"/>
  <c r="E6" i="1"/>
  <c r="D6" i="1"/>
  <c r="C6" i="1"/>
  <c r="I5" i="1"/>
  <c r="H5" i="1"/>
  <c r="G5" i="1"/>
  <c r="F5" i="1"/>
  <c r="E5" i="1"/>
  <c r="D5" i="1"/>
  <c r="C5" i="1"/>
  <c r="I4" i="1"/>
  <c r="H4" i="1"/>
  <c r="G4" i="1"/>
  <c r="F4" i="1"/>
  <c r="E4" i="1"/>
  <c r="D4" i="1"/>
  <c r="I3" i="1"/>
  <c r="G3" i="1"/>
  <c r="F3" i="1"/>
  <c r="E3" i="1"/>
  <c r="D3" i="1"/>
</calcChain>
</file>

<file path=xl/sharedStrings.xml><?xml version="1.0" encoding="utf-8"?>
<sst xmlns="http://schemas.openxmlformats.org/spreadsheetml/2006/main" count="633" uniqueCount="54">
  <si>
    <t>工作日</t>
  </si>
  <si>
    <t>時間</t>
  </si>
  <si>
    <t>課程</t>
  </si>
  <si>
    <t>1 月</t>
  </si>
  <si>
    <t>每週課表</t>
  </si>
  <si>
    <t>週一</t>
  </si>
  <si>
    <t>8:00</t>
  </si>
  <si>
    <t>法文</t>
  </si>
  <si>
    <t>10:00</t>
  </si>
  <si>
    <t>數學</t>
  </si>
  <si>
    <t>2:00</t>
  </si>
  <si>
    <t>英文</t>
  </si>
  <si>
    <t>在左側儲存格 B1 中輸入行事曆年份。</t>
  </si>
  <si>
    <t>週日</t>
  </si>
  <si>
    <t>週二</t>
  </si>
  <si>
    <t>9:00</t>
  </si>
  <si>
    <t>美術史</t>
  </si>
  <si>
    <t>4:00</t>
  </si>
  <si>
    <t>程式設計</t>
  </si>
  <si>
    <t>週三</t>
  </si>
  <si>
    <t>週四</t>
  </si>
  <si>
    <t>週五</t>
  </si>
  <si>
    <t>週六</t>
  </si>
  <si>
    <t>星期幾</t>
  </si>
  <si>
    <t>行事曆日</t>
  </si>
  <si>
    <t>作業</t>
  </si>
  <si>
    <t>法文：第一份論文草稿的繳交日期</t>
  </si>
  <si>
    <t>美術史：測驗</t>
  </si>
  <si>
    <t>2 月</t>
  </si>
  <si>
    <t>3 月</t>
  </si>
  <si>
    <t>4 月</t>
  </si>
  <si>
    <t xml:space="preserve"> </t>
  </si>
  <si>
    <t>5 月</t>
  </si>
  <si>
    <t>6 月</t>
  </si>
  <si>
    <t>7 月</t>
  </si>
  <si>
    <t>類別</t>
  </si>
  <si>
    <t>8 月</t>
  </si>
  <si>
    <t>9 月</t>
  </si>
  <si>
    <t>10 月</t>
  </si>
  <si>
    <t>11 月</t>
  </si>
  <si>
    <t>12 月</t>
  </si>
  <si>
    <t>完成事項</t>
    <phoneticPr fontId="31" type="noConversion"/>
  </si>
  <si>
    <t>重要行程</t>
    <phoneticPr fontId="31" type="noConversion"/>
  </si>
  <si>
    <t>週一</t>
    <phoneticPr fontId="31" type="noConversion"/>
  </si>
  <si>
    <t>完成事項&amp;備忘錄</t>
    <phoneticPr fontId="31" type="noConversion"/>
  </si>
  <si>
    <t>備忘錄</t>
    <phoneticPr fontId="31" type="noConversion"/>
  </si>
  <si>
    <t>日期</t>
    <phoneticPr fontId="31" type="noConversion"/>
  </si>
  <si>
    <t>週六</t>
    <phoneticPr fontId="31" type="noConversion"/>
  </si>
  <si>
    <t>週日</t>
    <phoneticPr fontId="31" type="noConversion"/>
  </si>
  <si>
    <t>週五</t>
    <phoneticPr fontId="31" type="noConversion"/>
  </si>
  <si>
    <t>專展</t>
    <phoneticPr fontId="31" type="noConversion"/>
  </si>
  <si>
    <t>場佈</t>
    <phoneticPr fontId="31" type="noConversion"/>
  </si>
  <si>
    <t>※用Expo go模擬需先下載APP且電腦手機連線的wifi相同※使用websocket轉遞電腦模擬數值需要在SensorContext中輸入電腦ip</t>
    <phoneticPr fontId="31" type="noConversion"/>
  </si>
  <si>
    <t>1.將網頁改建至手機操作並且由電腦模擬操控數值(晽)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</si>
</sst>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76" formatCode="_(* #,##0_);_(* \(#,##0\);_(* &quot;-&quot;_);_(@_)"/>
    <numFmt numFmtId="177" formatCode="_(* #,##0.00_);_(* \(#,##0.00\);_(* &quot;-&quot;??_);_(@_)"/>
    <numFmt numFmtId="178" formatCode="d"/>
    <numFmt numFmtId="179" formatCode="[$-409]mmmmm;@"/>
    <numFmt numFmtId="180" formatCode="_-&quot;NT$&quot;* #,##0.00_ ;_-&quot;NT$&quot;* \-#,##0.00\ ;_-&quot;NT$&quot;* &quot;-&quot;??_ ;_-@_ "/>
    <numFmt numFmtId="181" formatCode="_-&quot;NT$&quot;* #,##0_ ;_-&quot;NT$&quot;* \-#,##0\ ;_-&quot;NT$&quot;* &quot;-&quot;_ ;_-@_ "/>
    <numFmt numFmtId="182" formatCode="mm/dd/yy;@"/>
    <numFmt numFmtId="183" formatCode="0_ "/>
  </numFmts>
  <fonts count="35">
    <font>
      <sz val="11"/>
      <color theme="1"/>
      <name val="Microsoft JhengHei UI"/>
      <family val="2"/>
    </font>
    <font>
      <sz val="8"/>
      <name val="微軟正黑體"/>
      <family val="2"/>
      <scheme val="minor"/>
    </font>
    <font>
      <sz val="11"/>
      <color theme="1"/>
      <name val="Microsoft JhengHei UI"/>
      <family val="2"/>
    </font>
    <font>
      <sz val="11"/>
      <color theme="0"/>
      <name val="Microsoft JhengHei UI"/>
      <family val="2"/>
    </font>
    <font>
      <sz val="11"/>
      <color rgb="FF9C0006"/>
      <name val="Microsoft JhengHei UI"/>
      <family val="2"/>
    </font>
    <font>
      <b/>
      <sz val="11"/>
      <color rgb="FFFA7D00"/>
      <name val="Microsoft JhengHei UI"/>
      <family val="2"/>
    </font>
    <font>
      <b/>
      <sz val="11"/>
      <color theme="0"/>
      <name val="Microsoft JhengHei UI"/>
      <family val="2"/>
    </font>
    <font>
      <i/>
      <sz val="11"/>
      <color rgb="FF7F7F7F"/>
      <name val="Microsoft JhengHei UI"/>
      <family val="2"/>
    </font>
    <font>
      <sz val="11"/>
      <color rgb="FF006100"/>
      <name val="Microsoft JhengHei UI"/>
      <family val="2"/>
    </font>
    <font>
      <b/>
      <sz val="24"/>
      <color theme="4" tint="-0.499984740745262"/>
      <name val="Microsoft JhengHei UI"/>
      <family val="2"/>
    </font>
    <font>
      <b/>
      <sz val="17"/>
      <color theme="4" tint="-0.499984740745262"/>
      <name val="Microsoft JhengHei UI"/>
      <family val="2"/>
    </font>
    <font>
      <b/>
      <sz val="12"/>
      <color theme="4" tint="-0.499984740745262"/>
      <name val="Microsoft JhengHei UI"/>
      <family val="2"/>
    </font>
    <font>
      <sz val="11"/>
      <color rgb="FF3F3F76"/>
      <name val="Microsoft JhengHei UI"/>
      <family val="2"/>
    </font>
    <font>
      <sz val="11"/>
      <color rgb="FFFA7D00"/>
      <name val="Microsoft JhengHei UI"/>
      <family val="2"/>
    </font>
    <font>
      <sz val="11"/>
      <color rgb="FF9C5700"/>
      <name val="Microsoft JhengHei UI"/>
      <family val="2"/>
    </font>
    <font>
      <b/>
      <sz val="11"/>
      <color rgb="FF3F3F3F"/>
      <name val="Microsoft JhengHei UI"/>
      <family val="2"/>
    </font>
    <font>
      <b/>
      <sz val="18"/>
      <color theme="4" tint="-0.499984740745262"/>
      <name val="Microsoft JhengHei UI"/>
      <family val="2"/>
    </font>
    <font>
      <b/>
      <sz val="11"/>
      <color theme="1"/>
      <name val="Microsoft JhengHei UI"/>
      <family val="2"/>
    </font>
    <font>
      <sz val="11"/>
      <color rgb="FFFF0000"/>
      <name val="Microsoft JhengHei UI"/>
      <family val="2"/>
    </font>
    <font>
      <b/>
      <sz val="11"/>
      <color theme="4" tint="-0.499984740745262"/>
      <name val="Microsoft JhengHei UI"/>
      <family val="2"/>
    </font>
    <font>
      <sz val="11"/>
      <name val="Microsoft JhengHei UI"/>
      <family val="2"/>
    </font>
    <font>
      <sz val="12"/>
      <color theme="1" tint="0.249977111117893"/>
      <name val="Microsoft JhengHei UI"/>
      <family val="2"/>
    </font>
    <font>
      <sz val="11"/>
      <color theme="1"/>
      <name val="Microsoft JhengHei UI"/>
      <family val="2"/>
      <charset val="136"/>
    </font>
    <font>
      <sz val="11"/>
      <color theme="0"/>
      <name val="Microsoft JhengHei UI"/>
      <family val="2"/>
      <charset val="136"/>
    </font>
    <font>
      <b/>
      <sz val="17"/>
      <color theme="4" tint="-0.499984740745262"/>
      <name val="Microsoft JhengHei UI"/>
      <family val="2"/>
      <charset val="136"/>
    </font>
    <font>
      <b/>
      <sz val="24"/>
      <color theme="4" tint="-0.499984740745262"/>
      <name val="Microsoft JhengHei UI"/>
      <family val="2"/>
      <charset val="136"/>
    </font>
    <font>
      <sz val="12"/>
      <color theme="1" tint="0.249977111117893"/>
      <name val="Microsoft JhengHei UI"/>
      <family val="2"/>
      <charset val="136"/>
    </font>
    <font>
      <b/>
      <sz val="12"/>
      <color theme="4" tint="-0.499984740745262"/>
      <name val="Microsoft JhengHei UI"/>
      <family val="2"/>
      <charset val="136"/>
    </font>
    <font>
      <b/>
      <sz val="11"/>
      <color theme="1"/>
      <name val="Microsoft JhengHei UI"/>
      <family val="2"/>
      <charset val="136"/>
    </font>
    <font>
      <sz val="11"/>
      <name val="Microsoft JhengHei UI"/>
      <family val="2"/>
      <charset val="136"/>
    </font>
    <font>
      <b/>
      <sz val="18"/>
      <color theme="4" tint="-0.499984740745262"/>
      <name val="Microsoft JhengHei UI"/>
      <family val="2"/>
      <charset val="136"/>
    </font>
    <font>
      <sz val="9"/>
      <name val="細明體"/>
      <family val="3"/>
      <charset val="136"/>
    </font>
    <font>
      <sz val="10"/>
      <color theme="1" tint="0.249977111117893"/>
      <name val="Microsoft JhengHei UI"/>
      <family val="2"/>
      <charset val="136"/>
    </font>
    <font>
      <b/>
      <sz val="17"/>
      <color theme="4" tint="-0.499984740745262"/>
      <name val="Microsoft JhengHei"/>
      <family val="2"/>
    </font>
    <font>
      <sz val="11"/>
      <color theme="2"/>
      <name val="Microsoft JhengHei UI"/>
      <family val="2"/>
      <charset val="136"/>
    </font>
  </fonts>
  <fills count="3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theme="4" tint="0.79998168889431442"/>
      </left>
      <right style="thin">
        <color theme="0"/>
      </right>
      <top/>
      <bottom/>
      <diagonal/>
    </border>
    <border>
      <left/>
      <right style="thin">
        <color theme="4" tint="0.79998168889431442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 tint="-0.499984740745262"/>
      </top>
      <bottom/>
      <diagonal/>
    </border>
    <border>
      <left/>
      <right/>
      <top/>
      <bottom style="thin">
        <color theme="4" tint="-0.499984740745262"/>
      </bottom>
      <diagonal/>
    </border>
    <border>
      <left style="thin">
        <color theme="4" tint="0.79998168889431442"/>
      </left>
      <right/>
      <top/>
      <bottom/>
      <diagonal/>
    </border>
    <border>
      <left/>
      <right style="thin">
        <color theme="4" tint="-0.49998474074526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57">
    <xf numFmtId="0" fontId="0" fillId="0" borderId="0">
      <alignment wrapText="1"/>
    </xf>
    <xf numFmtId="0" fontId="16" fillId="0" borderId="0" applyFill="0" applyBorder="0" applyProtection="0">
      <alignment horizontal="center" vertical="center"/>
    </xf>
    <xf numFmtId="179" fontId="9" fillId="0" borderId="0" applyFill="0" applyBorder="0" applyProtection="0">
      <alignment horizontal="center" vertical="center"/>
    </xf>
    <xf numFmtId="0" fontId="10" fillId="0" borderId="0" applyFill="0" applyProtection="0">
      <alignment horizontal="left" vertical="center" indent="2"/>
    </xf>
    <xf numFmtId="0" fontId="11" fillId="0" borderId="0" applyNumberFormat="0" applyFill="0" applyBorder="0" applyProtection="0">
      <alignment horizontal="left" vertical="center"/>
    </xf>
    <xf numFmtId="0" fontId="11" fillId="0" borderId="0" applyFill="0" applyBorder="0" applyProtection="0"/>
    <xf numFmtId="177" fontId="2" fillId="0" borderId="0" applyFill="0" applyBorder="0" applyAlignment="0" applyProtection="0"/>
    <xf numFmtId="176" fontId="2" fillId="0" borderId="0" applyFill="0" applyBorder="0" applyAlignment="0" applyProtection="0"/>
    <xf numFmtId="180" fontId="2" fillId="0" borderId="0" applyFill="0" applyBorder="0" applyAlignment="0" applyProtection="0"/>
    <xf numFmtId="181" fontId="2" fillId="0" borderId="0" applyFill="0" applyBorder="0" applyAlignment="0" applyProtection="0"/>
    <xf numFmtId="9" fontId="2" fillId="0" borderId="0" applyFill="0" applyBorder="0" applyAlignment="0" applyProtection="0"/>
    <xf numFmtId="0" fontId="2" fillId="3" borderId="5" applyNumberFormat="0" applyAlignment="0" applyProtection="0"/>
    <xf numFmtId="0" fontId="3" fillId="4" borderId="1">
      <alignment horizontal="left" indent="1"/>
    </xf>
    <xf numFmtId="0" fontId="19" fillId="0" borderId="0">
      <alignment vertical="center"/>
    </xf>
    <xf numFmtId="0" fontId="19" fillId="0" borderId="6" applyNumberFormat="0" applyFont="0" applyFill="0" applyAlignment="0" applyProtection="0">
      <alignment horizontal="left" vertical="center" indent="2"/>
    </xf>
    <xf numFmtId="183" fontId="17" fillId="0" borderId="0" applyFill="0" applyBorder="0">
      <alignment horizontal="center"/>
    </xf>
    <xf numFmtId="0" fontId="20" fillId="0" borderId="7" applyNumberFormat="0" applyFont="0" applyFill="0" applyAlignment="0" applyProtection="0">
      <alignment horizontal="center"/>
    </xf>
    <xf numFmtId="0" fontId="20" fillId="0" borderId="9" applyNumberFormat="0" applyFont="0" applyFill="0" applyAlignment="0" applyProtection="0"/>
    <xf numFmtId="178" fontId="21" fillId="0" borderId="0" applyNumberFormat="0" applyFill="0" applyBorder="0">
      <alignment horizontal="left" vertical="center" indent="1"/>
    </xf>
    <xf numFmtId="0" fontId="20" fillId="2" borderId="0" applyFont="0" applyBorder="0">
      <alignment horizontal="left" vertical="top" indent="1"/>
    </xf>
    <xf numFmtId="0" fontId="3" fillId="0" borderId="0" applyNumberFormat="0" applyFill="0" applyBorder="0" applyAlignment="0">
      <alignment wrapText="1"/>
    </xf>
    <xf numFmtId="20" fontId="20" fillId="2" borderId="0" applyFill="0" applyBorder="0">
      <alignment horizontal="left" indent="1"/>
    </xf>
    <xf numFmtId="0" fontId="8" fillId="5" borderId="0" applyNumberFormat="0" applyBorder="0" applyAlignment="0" applyProtection="0"/>
    <xf numFmtId="0" fontId="4" fillId="6" borderId="0" applyNumberFormat="0" applyBorder="0" applyAlignment="0" applyProtection="0"/>
    <xf numFmtId="0" fontId="14" fillId="7" borderId="0" applyNumberFormat="0" applyBorder="0" applyAlignment="0" applyProtection="0"/>
    <xf numFmtId="0" fontId="12" fillId="8" borderId="11" applyNumberFormat="0" applyAlignment="0" applyProtection="0"/>
    <xf numFmtId="0" fontId="15" fillId="9" borderId="12" applyNumberFormat="0" applyAlignment="0" applyProtection="0"/>
    <xf numFmtId="0" fontId="5" fillId="9" borderId="11" applyNumberFormat="0" applyAlignment="0" applyProtection="0"/>
    <xf numFmtId="0" fontId="13" fillId="0" borderId="13" applyNumberFormat="0" applyFill="0" applyAlignment="0" applyProtection="0"/>
    <xf numFmtId="0" fontId="6" fillId="10" borderId="14" applyNumberFormat="0" applyAlignment="0" applyProtection="0"/>
    <xf numFmtId="0" fontId="1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7" fillId="0" borderId="15" applyNumberFormat="0" applyFill="0" applyAlignment="0" applyProtection="0"/>
    <xf numFmtId="0" fontId="3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3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3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3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</cellStyleXfs>
  <cellXfs count="85">
    <xf numFmtId="0" fontId="0" fillId="0" borderId="0" xfId="0">
      <alignment wrapText="1"/>
    </xf>
    <xf numFmtId="0" fontId="0" fillId="0" borderId="0" xfId="0" applyFont="1">
      <alignment wrapText="1"/>
    </xf>
    <xf numFmtId="0" fontId="16" fillId="0" borderId="7" xfId="1" applyFont="1" applyBorder="1">
      <alignment horizontal="center" vertical="center"/>
    </xf>
    <xf numFmtId="0" fontId="19" fillId="0" borderId="0" xfId="13" applyFont="1">
      <alignment vertical="center"/>
    </xf>
    <xf numFmtId="0" fontId="22" fillId="0" borderId="0" xfId="0" applyFont="1">
      <alignment wrapText="1"/>
    </xf>
    <xf numFmtId="0" fontId="23" fillId="0" borderId="0" xfId="20" applyFont="1">
      <alignment wrapText="1"/>
    </xf>
    <xf numFmtId="0" fontId="24" fillId="0" borderId="0" xfId="3" applyFont="1">
      <alignment horizontal="left" vertical="center" indent="2"/>
    </xf>
    <xf numFmtId="0" fontId="22" fillId="0" borderId="9" xfId="17" applyFont="1" applyAlignment="1">
      <alignment wrapText="1"/>
    </xf>
    <xf numFmtId="182" fontId="25" fillId="0" borderId="0" xfId="2" applyNumberFormat="1" applyFont="1">
      <alignment horizontal="center" vertical="center"/>
    </xf>
    <xf numFmtId="0" fontId="26" fillId="0" borderId="6" xfId="14" applyNumberFormat="1" applyFont="1" applyAlignment="1">
      <alignment horizontal="left" vertical="center" indent="1"/>
    </xf>
    <xf numFmtId="0" fontId="27" fillId="0" borderId="0" xfId="5" applyFont="1"/>
    <xf numFmtId="183" fontId="28" fillId="0" borderId="0" xfId="15" applyFont="1">
      <alignment horizontal="center"/>
    </xf>
    <xf numFmtId="0" fontId="22" fillId="0" borderId="0" xfId="0" applyFont="1" applyBorder="1" applyAlignment="1">
      <alignment horizontal="left" wrapText="1"/>
    </xf>
    <xf numFmtId="0" fontId="27" fillId="0" borderId="7" xfId="5" applyFont="1" applyBorder="1"/>
    <xf numFmtId="183" fontId="28" fillId="0" borderId="7" xfId="15" applyFont="1" applyBorder="1">
      <alignment horizontal="center"/>
    </xf>
    <xf numFmtId="0" fontId="22" fillId="0" borderId="7" xfId="16" applyFont="1" applyAlignment="1">
      <alignment wrapText="1"/>
    </xf>
    <xf numFmtId="0" fontId="27" fillId="0" borderId="0" xfId="4" applyFont="1">
      <alignment horizontal="left" vertical="center"/>
    </xf>
    <xf numFmtId="0" fontId="22" fillId="0" borderId="0" xfId="14" applyFont="1" applyBorder="1" applyAlignment="1">
      <alignment wrapText="1"/>
    </xf>
    <xf numFmtId="0" fontId="23" fillId="0" borderId="9" xfId="20" applyFont="1" applyBorder="1" applyAlignment="1">
      <alignment wrapText="1"/>
    </xf>
    <xf numFmtId="0" fontId="23" fillId="4" borderId="1" xfId="12" applyFont="1">
      <alignment horizontal="left" indent="1"/>
    </xf>
    <xf numFmtId="0" fontId="23" fillId="4" borderId="9" xfId="17" applyFont="1" applyFill="1" applyAlignment="1">
      <alignment horizontal="left" indent="1"/>
    </xf>
    <xf numFmtId="14" fontId="29" fillId="2" borderId="0" xfId="21" applyNumberFormat="1" applyFont="1">
      <alignment horizontal="left" indent="1"/>
    </xf>
    <xf numFmtId="14" fontId="29" fillId="2" borderId="9" xfId="21" applyNumberFormat="1" applyFont="1" applyBorder="1">
      <alignment horizontal="left" indent="1"/>
    </xf>
    <xf numFmtId="0" fontId="22" fillId="2" borderId="0" xfId="19" applyFont="1">
      <alignment horizontal="left" vertical="top" indent="1"/>
    </xf>
    <xf numFmtId="0" fontId="22" fillId="2" borderId="9" xfId="19" applyFont="1" applyBorder="1">
      <alignment horizontal="left" vertical="top" indent="1"/>
    </xf>
    <xf numFmtId="0" fontId="28" fillId="2" borderId="9" xfId="19" applyFont="1" applyBorder="1">
      <alignment horizontal="left" vertical="top" indent="1"/>
    </xf>
    <xf numFmtId="0" fontId="22" fillId="0" borderId="7" xfId="16" applyFont="1" applyAlignment="1">
      <alignment horizontal="left" wrapText="1"/>
    </xf>
    <xf numFmtId="0" fontId="22" fillId="2" borderId="7" xfId="19" applyFont="1" applyBorder="1">
      <alignment horizontal="left" vertical="top" indent="1"/>
    </xf>
    <xf numFmtId="0" fontId="27" fillId="0" borderId="0" xfId="5" applyFont="1" applyFill="1"/>
    <xf numFmtId="0" fontId="30" fillId="0" borderId="0" xfId="1" applyFont="1">
      <alignment horizontal="center" vertical="center"/>
    </xf>
    <xf numFmtId="182" fontId="25" fillId="0" borderId="6" xfId="2" applyNumberFormat="1" applyFont="1" applyBorder="1">
      <alignment horizontal="center" vertical="center"/>
    </xf>
    <xf numFmtId="0" fontId="27" fillId="0" borderId="6" xfId="14" applyFont="1" applyAlignment="1">
      <alignment vertical="center"/>
    </xf>
    <xf numFmtId="14" fontId="29" fillId="2" borderId="3" xfId="21" applyNumberFormat="1" applyFont="1" applyBorder="1">
      <alignment horizontal="left" indent="1"/>
    </xf>
    <xf numFmtId="14" fontId="29" fillId="2" borderId="4" xfId="21" applyNumberFormat="1" applyFont="1" applyBorder="1">
      <alignment horizontal="left" indent="1"/>
    </xf>
    <xf numFmtId="0" fontId="28" fillId="2" borderId="0" xfId="19" applyFont="1">
      <alignment horizontal="left" vertical="top" indent="1"/>
    </xf>
    <xf numFmtId="183" fontId="28" fillId="0" borderId="6" xfId="15" applyFont="1" applyBorder="1">
      <alignment horizontal="center"/>
    </xf>
    <xf numFmtId="0" fontId="27" fillId="0" borderId="7" xfId="16" applyFont="1" applyAlignment="1"/>
    <xf numFmtId="1" fontId="28" fillId="0" borderId="7" xfId="16" applyNumberFormat="1" applyFont="1">
      <alignment horizontal="center"/>
    </xf>
    <xf numFmtId="0" fontId="32" fillId="0" borderId="7" xfId="16" applyFont="1" applyAlignment="1">
      <alignment horizontal="left" wrapText="1"/>
    </xf>
    <xf numFmtId="0" fontId="22" fillId="2" borderId="7" xfId="16" applyFont="1" applyFill="1" applyAlignment="1">
      <alignment horizontal="left" vertical="top" indent="1"/>
    </xf>
    <xf numFmtId="14" fontId="26" fillId="0" borderId="0" xfId="0" applyNumberFormat="1" applyFont="1" applyFill="1" applyAlignment="1">
      <alignment horizontal="left" wrapText="1"/>
    </xf>
    <xf numFmtId="0" fontId="28" fillId="0" borderId="6" xfId="14" applyFont="1" applyAlignment="1">
      <alignment horizontal="center"/>
    </xf>
    <xf numFmtId="182" fontId="25" fillId="0" borderId="6" xfId="14" applyNumberFormat="1" applyFont="1" applyAlignment="1">
      <alignment horizontal="center" vertical="center"/>
    </xf>
    <xf numFmtId="14" fontId="29" fillId="0" borderId="7" xfId="16" applyNumberFormat="1" applyFont="1" applyFill="1" applyAlignment="1">
      <alignment horizontal="left" indent="1"/>
    </xf>
    <xf numFmtId="0" fontId="27" fillId="0" borderId="6" xfId="5" applyFont="1" applyBorder="1"/>
    <xf numFmtId="0" fontId="30" fillId="0" borderId="6" xfId="1" applyFont="1" applyBorder="1">
      <alignment horizontal="center" vertical="center"/>
    </xf>
    <xf numFmtId="0" fontId="29" fillId="2" borderId="7" xfId="19" applyFont="1" applyBorder="1">
      <alignment horizontal="left" vertical="top" indent="1"/>
    </xf>
    <xf numFmtId="178" fontId="26" fillId="0" borderId="0" xfId="18" applyNumberFormat="1" applyFont="1" applyFill="1" applyBorder="1">
      <alignment horizontal="left" vertical="center" indent="1"/>
    </xf>
    <xf numFmtId="178" fontId="26" fillId="0" borderId="7" xfId="16" applyNumberFormat="1" applyFont="1" applyFill="1" applyAlignment="1">
      <alignment horizontal="left" vertical="center" indent="1"/>
    </xf>
    <xf numFmtId="0" fontId="22" fillId="2" borderId="0" xfId="19" applyFont="1">
      <alignment horizontal="left" vertical="top" indent="1"/>
    </xf>
    <xf numFmtId="0" fontId="22" fillId="2" borderId="7" xfId="19" applyFont="1" applyBorder="1">
      <alignment horizontal="left" vertical="top" indent="1"/>
    </xf>
    <xf numFmtId="0" fontId="22" fillId="2" borderId="7" xfId="16" applyFont="1" applyFill="1" applyAlignment="1">
      <alignment horizontal="left" vertical="top" indent="1"/>
    </xf>
    <xf numFmtId="20" fontId="29" fillId="2" borderId="0" xfId="21" applyNumberFormat="1" applyFont="1">
      <alignment horizontal="left" indent="1"/>
    </xf>
    <xf numFmtId="22" fontId="29" fillId="2" borderId="0" xfId="21" applyNumberFormat="1" applyFont="1">
      <alignment horizontal="left" indent="1"/>
    </xf>
    <xf numFmtId="0" fontId="22" fillId="0" borderId="16" xfId="0" applyFont="1" applyBorder="1">
      <alignment wrapText="1"/>
    </xf>
    <xf numFmtId="0" fontId="22" fillId="0" borderId="17" xfId="0" applyFont="1" applyBorder="1">
      <alignment wrapText="1"/>
    </xf>
    <xf numFmtId="0" fontId="22" fillId="0" borderId="18" xfId="0" applyFont="1" applyBorder="1">
      <alignment wrapText="1"/>
    </xf>
    <xf numFmtId="0" fontId="22" fillId="0" borderId="21" xfId="0" applyFont="1" applyBorder="1">
      <alignment wrapText="1"/>
    </xf>
    <xf numFmtId="0" fontId="33" fillId="0" borderId="16" xfId="3" applyFont="1" applyBorder="1">
      <alignment horizontal="left" vertical="center" indent="2"/>
    </xf>
    <xf numFmtId="0" fontId="24" fillId="0" borderId="16" xfId="3" applyFont="1" applyBorder="1">
      <alignment horizontal="left" vertical="center" indent="2"/>
    </xf>
    <xf numFmtId="0" fontId="24" fillId="0" borderId="22" xfId="3" applyFont="1" applyBorder="1">
      <alignment horizontal="left" vertical="center" indent="2"/>
    </xf>
    <xf numFmtId="0" fontId="24" fillId="0" borderId="20" xfId="3" applyFont="1" applyBorder="1">
      <alignment horizontal="left" vertical="center" indent="2"/>
    </xf>
    <xf numFmtId="0" fontId="27" fillId="0" borderId="0" xfId="5" applyFont="1" applyBorder="1"/>
    <xf numFmtId="183" fontId="28" fillId="0" borderId="0" xfId="15" applyFont="1" applyBorder="1">
      <alignment horizontal="center"/>
    </xf>
    <xf numFmtId="0" fontId="22" fillId="0" borderId="0" xfId="16" applyFont="1" applyBorder="1" applyAlignment="1">
      <alignment wrapText="1"/>
    </xf>
    <xf numFmtId="14" fontId="29" fillId="2" borderId="0" xfId="21" applyNumberFormat="1" applyFont="1" applyBorder="1">
      <alignment horizontal="left" indent="1"/>
    </xf>
    <xf numFmtId="0" fontId="27" fillId="0" borderId="17" xfId="5" applyFont="1" applyBorder="1"/>
    <xf numFmtId="183" fontId="28" fillId="0" borderId="17" xfId="15" applyFont="1" applyBorder="1">
      <alignment horizontal="center"/>
    </xf>
    <xf numFmtId="0" fontId="22" fillId="0" borderId="22" xfId="0" applyFont="1" applyBorder="1">
      <alignment wrapText="1"/>
    </xf>
    <xf numFmtId="14" fontId="26" fillId="0" borderId="0" xfId="0" applyNumberFormat="1" applyFont="1" applyFill="1" applyBorder="1" applyAlignment="1">
      <alignment horizontal="left" wrapText="1"/>
    </xf>
    <xf numFmtId="0" fontId="29" fillId="0" borderId="0" xfId="16" applyFont="1" applyBorder="1">
      <alignment horizontal="center"/>
    </xf>
    <xf numFmtId="0" fontId="28" fillId="0" borderId="17" xfId="14" applyFont="1" applyBorder="1" applyAlignment="1">
      <alignment horizontal="center"/>
    </xf>
    <xf numFmtId="0" fontId="22" fillId="2" borderId="19" xfId="19" applyFont="1" applyBorder="1">
      <alignment horizontal="left" vertical="top" indent="1"/>
    </xf>
    <xf numFmtId="0" fontId="23" fillId="4" borderId="0" xfId="17" applyFont="1" applyFill="1" applyBorder="1" applyAlignment="1">
      <alignment horizontal="left" indent="1"/>
    </xf>
    <xf numFmtId="0" fontId="34" fillId="4" borderId="23" xfId="17" applyFont="1" applyFill="1" applyBorder="1" applyAlignment="1">
      <alignment horizontal="left" indent="1"/>
    </xf>
    <xf numFmtId="0" fontId="34" fillId="4" borderId="24" xfId="17" applyFont="1" applyFill="1" applyBorder="1" applyAlignment="1">
      <alignment horizontal="left" indent="1"/>
    </xf>
    <xf numFmtId="0" fontId="23" fillId="4" borderId="8" xfId="12" applyFont="1" applyBorder="1">
      <alignment horizontal="left" indent="1"/>
    </xf>
    <xf numFmtId="0" fontId="23" fillId="4" borderId="2" xfId="12" applyFont="1" applyBorder="1">
      <alignment horizontal="left" indent="1"/>
    </xf>
    <xf numFmtId="14" fontId="29" fillId="2" borderId="10" xfId="21" applyNumberFormat="1" applyFont="1" applyBorder="1">
      <alignment horizontal="left" indent="1"/>
    </xf>
    <xf numFmtId="0" fontId="22" fillId="2" borderId="0" xfId="19" applyFont="1">
      <alignment horizontal="left" vertical="top" indent="1"/>
    </xf>
    <xf numFmtId="0" fontId="22" fillId="2" borderId="7" xfId="19" applyFont="1" applyBorder="1">
      <alignment horizontal="left" vertical="top" indent="1"/>
    </xf>
    <xf numFmtId="0" fontId="22" fillId="2" borderId="7" xfId="16" applyFont="1" applyFill="1" applyAlignment="1">
      <alignment horizontal="left" vertical="top" indent="1"/>
    </xf>
    <xf numFmtId="14" fontId="29" fillId="2" borderId="0" xfId="21" applyNumberFormat="1" applyFont="1">
      <alignment horizontal="left" indent="1"/>
    </xf>
    <xf numFmtId="0" fontId="23" fillId="4" borderId="0" xfId="12" applyFont="1" applyBorder="1">
      <alignment horizontal="left" indent="1"/>
    </xf>
    <xf numFmtId="0" fontId="29" fillId="2" borderId="7" xfId="19" applyFont="1" applyBorder="1">
      <alignment horizontal="left" vertical="top" indent="1"/>
    </xf>
  </cellXfs>
  <cellStyles count="57">
    <cellStyle name="20% - 輔色1" xfId="34" builtinId="30" customBuiltin="1"/>
    <cellStyle name="20% - 輔色2" xfId="38" builtinId="34" customBuiltin="1"/>
    <cellStyle name="20% - 輔色3" xfId="42" builtinId="38" customBuiltin="1"/>
    <cellStyle name="20% - 輔色4" xfId="46" builtinId="42" customBuiltin="1"/>
    <cellStyle name="20% - 輔色5" xfId="50" builtinId="46" customBuiltin="1"/>
    <cellStyle name="20% - 輔色6" xfId="54" builtinId="50" customBuiltin="1"/>
    <cellStyle name="40% - 輔色1" xfId="35" builtinId="31" customBuiltin="1"/>
    <cellStyle name="40% - 輔色2" xfId="39" builtinId="35" customBuiltin="1"/>
    <cellStyle name="40% - 輔色3" xfId="43" builtinId="39" customBuiltin="1"/>
    <cellStyle name="40% - 輔色4" xfId="47" builtinId="43" customBuiltin="1"/>
    <cellStyle name="40% - 輔色5" xfId="51" builtinId="47" customBuiltin="1"/>
    <cellStyle name="40% - 輔色6" xfId="55" builtinId="51" customBuiltin="1"/>
    <cellStyle name="60% - 輔色1" xfId="36" builtinId="32" customBuiltin="1"/>
    <cellStyle name="60% - 輔色2" xfId="40" builtinId="36" customBuiltin="1"/>
    <cellStyle name="60% - 輔色3" xfId="44" builtinId="40" customBuiltin="1"/>
    <cellStyle name="60% - 輔色4" xfId="48" builtinId="44" customBuiltin="1"/>
    <cellStyle name="60% - 輔色5" xfId="52" builtinId="48" customBuiltin="1"/>
    <cellStyle name="60% - 輔色6" xfId="56" builtinId="52" customBuiltin="1"/>
    <cellStyle name="一般" xfId="0" builtinId="0" customBuiltin="1"/>
    <cellStyle name="上框線" xfId="14" xr:uid="{00000000-0005-0000-0000-000013000000}"/>
    <cellStyle name="下框線" xfId="16" xr:uid="{00000000-0005-0000-0000-000000000000}"/>
    <cellStyle name="千分位" xfId="6" builtinId="3" customBuiltin="1"/>
    <cellStyle name="千分位[0]" xfId="7" builtinId="6" customBuiltin="1"/>
    <cellStyle name="中等" xfId="24" builtinId="28" customBuiltin="1"/>
    <cellStyle name="日期" xfId="15" xr:uid="{00000000-0005-0000-0000-000006000000}"/>
    <cellStyle name="右框線" xfId="17" xr:uid="{00000000-0005-0000-0000-00000F000000}"/>
    <cellStyle name="合計" xfId="32" builtinId="25" customBuiltin="1"/>
    <cellStyle name="好" xfId="22" builtinId="26" customBuiltin="1"/>
    <cellStyle name="百分比" xfId="10" builtinId="5" customBuiltin="1"/>
    <cellStyle name="行事曆對齊" xfId="18" xr:uid="{00000000-0005-0000-0000-000001000000}"/>
    <cellStyle name="表格標題空白" xfId="20" xr:uid="{00000000-0005-0000-0000-000010000000}"/>
    <cellStyle name="星期幾" xfId="12" xr:uid="{00000000-0005-0000-0000-000014000000}"/>
    <cellStyle name="計算方式" xfId="27" builtinId="22" customBuiltin="1"/>
    <cellStyle name="時間" xfId="21" xr:uid="{00000000-0005-0000-0000-000011000000}"/>
    <cellStyle name="貨幣" xfId="8" builtinId="4" customBuiltin="1"/>
    <cellStyle name="貨幣 [0]" xfId="9" builtinId="7" customBuiltin="1"/>
    <cellStyle name="連結的儲存格" xfId="28" builtinId="24" customBuiltin="1"/>
    <cellStyle name="備註" xfId="11" builtinId="10" customBuiltin="1"/>
    <cellStyle name="填入每週課表" xfId="19" xr:uid="{00000000-0005-0000-0000-000015000000}"/>
    <cellStyle name="說明文字" xfId="31" builtinId="53" customBuiltin="1"/>
    <cellStyle name="輔色1" xfId="33" builtinId="29" customBuiltin="1"/>
    <cellStyle name="輔色2" xfId="37" builtinId="33" customBuiltin="1"/>
    <cellStyle name="輔色3" xfId="41" builtinId="37" customBuiltin="1"/>
    <cellStyle name="輔色4" xfId="45" builtinId="41" customBuiltin="1"/>
    <cellStyle name="輔色5" xfId="49" builtinId="45" customBuiltin="1"/>
    <cellStyle name="輔色6" xfId="53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標籤" xfId="13" xr:uid="{00000000-0005-0000-0000-00000B000000}"/>
    <cellStyle name="輸入" xfId="25" builtinId="20" customBuiltin="1"/>
    <cellStyle name="輸出" xfId="26" builtinId="21" customBuiltin="1"/>
    <cellStyle name="檢查儲存格" xfId="29" builtinId="23" customBuiltin="1"/>
    <cellStyle name="壞" xfId="23" builtinId="27" customBuiltin="1"/>
    <cellStyle name="警告文字" xfId="30" builtinId="11" customBuiltin="1"/>
  </cellStyles>
  <dxfs count="155"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border>
        <bottom style="thin">
          <color theme="0"/>
        </bottom>
        <vertical/>
        <horizontal/>
      </border>
    </dxf>
    <dxf>
      <fill>
        <patternFill>
          <bgColor theme="4" tint="0.79998168889431442"/>
        </patternFill>
      </fill>
    </dxf>
    <dxf>
      <border>
        <left style="thin">
          <color theme="0"/>
        </left>
        <vertical/>
        <horizontal/>
      </border>
    </dxf>
    <dxf>
      <font>
        <b/>
        <i val="0"/>
      </font>
      <fill>
        <patternFill>
          <bgColor theme="4" tint="0.79998168889431442"/>
        </patternFill>
      </fill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border>
        <bottom style="thin">
          <color theme="0"/>
        </bottom>
        <vertical/>
        <horizontal/>
      </border>
    </dxf>
    <dxf>
      <fill>
        <patternFill>
          <bgColor theme="4" tint="0.79998168889431442"/>
        </patternFill>
      </fill>
    </dxf>
    <dxf>
      <border>
        <left style="thin">
          <color theme="0"/>
        </left>
        <vertical/>
        <horizontal/>
      </border>
    </dxf>
    <dxf>
      <font>
        <b/>
        <i val="0"/>
      </font>
      <fill>
        <patternFill>
          <bgColor theme="4" tint="0.79998168889431442"/>
        </patternFill>
      </fill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border>
        <bottom style="thin">
          <color theme="0"/>
        </bottom>
        <vertical/>
        <horizontal/>
      </border>
    </dxf>
    <dxf>
      <fill>
        <patternFill>
          <bgColor theme="4" tint="0.79998168889431442"/>
        </patternFill>
      </fill>
    </dxf>
    <dxf>
      <border>
        <left style="thin">
          <color theme="0"/>
        </left>
        <vertical/>
        <horizontal/>
      </border>
    </dxf>
    <dxf>
      <font>
        <b/>
        <i val="0"/>
      </font>
      <fill>
        <patternFill>
          <bgColor theme="4" tint="0.79998168889431442"/>
        </patternFill>
      </fill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border>
        <bottom style="thin">
          <color theme="0"/>
        </bottom>
        <vertical/>
        <horizontal/>
      </border>
    </dxf>
    <dxf>
      <fill>
        <patternFill>
          <bgColor theme="4" tint="0.79998168889431442"/>
        </patternFill>
      </fill>
    </dxf>
    <dxf>
      <border>
        <left style="thin">
          <color theme="0"/>
        </left>
        <vertical/>
        <horizontal/>
      </border>
    </dxf>
    <dxf>
      <font>
        <b/>
        <i val="0"/>
      </font>
      <fill>
        <patternFill>
          <bgColor theme="4" tint="0.79998168889431442"/>
        </patternFill>
      </fill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border>
        <bottom style="thin">
          <color theme="0"/>
        </bottom>
        <vertical/>
        <horizontal/>
      </border>
    </dxf>
    <dxf>
      <fill>
        <patternFill>
          <bgColor theme="4" tint="0.79998168889431442"/>
        </patternFill>
      </fill>
    </dxf>
    <dxf>
      <border>
        <left style="thin">
          <color theme="0"/>
        </left>
        <vertical/>
        <horizontal/>
      </border>
    </dxf>
    <dxf>
      <font>
        <b/>
        <i val="0"/>
      </font>
      <fill>
        <patternFill>
          <bgColor theme="4" tint="0.79998168889431442"/>
        </patternFill>
      </fill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border>
        <bottom style="thin">
          <color theme="0"/>
        </bottom>
        <vertical/>
        <horizontal/>
      </border>
    </dxf>
    <dxf>
      <font>
        <b val="0"/>
        <i val="0"/>
      </font>
      <fill>
        <patternFill>
          <bgColor theme="4" tint="0.79998168889431442"/>
        </patternFill>
      </fill>
      <border>
        <vertical/>
        <horizontal/>
      </border>
    </dxf>
    <dxf>
      <border>
        <left style="thin">
          <color theme="0"/>
        </left>
        <vertical/>
        <horizontal/>
      </border>
    </dxf>
    <dxf>
      <font>
        <b/>
        <i val="0"/>
      </font>
      <fill>
        <patternFill>
          <bgColor theme="4" tint="0.79998168889431442"/>
        </patternFill>
      </fill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border>
        <bottom style="thin">
          <color theme="0"/>
        </bottom>
        <vertical/>
        <horizontal/>
      </border>
    </dxf>
    <dxf>
      <fill>
        <patternFill>
          <bgColor theme="4" tint="0.79998168889431442"/>
        </patternFill>
      </fill>
    </dxf>
    <dxf>
      <border>
        <left style="thin">
          <color theme="0"/>
        </left>
        <vertical/>
        <horizontal/>
      </border>
    </dxf>
    <dxf>
      <font>
        <b/>
        <i val="0"/>
      </font>
      <fill>
        <patternFill>
          <bgColor theme="4" tint="0.79998168889431442"/>
        </patternFill>
      </fill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border>
        <bottom style="thin">
          <color theme="0"/>
        </bottom>
        <vertical/>
        <horizontal/>
      </border>
    </dxf>
    <dxf>
      <fill>
        <patternFill>
          <bgColor theme="4" tint="0.79998168889431442"/>
        </patternFill>
      </fill>
    </dxf>
    <dxf>
      <border>
        <left style="thin">
          <color theme="0"/>
        </left>
        <vertical/>
        <horizontal/>
      </border>
    </dxf>
    <dxf>
      <font>
        <b/>
        <i val="0"/>
      </font>
      <fill>
        <patternFill>
          <bgColor theme="4" tint="0.79998168889431442"/>
        </patternFill>
      </fill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border>
        <left style="thin">
          <color theme="0"/>
        </left>
        <vertical/>
        <horizontal/>
      </border>
    </dxf>
    <dxf>
      <border>
        <left style="thin">
          <color theme="0"/>
        </left>
        <bottom style="thin">
          <color theme="0"/>
        </bottom>
        <vertical/>
        <horizontal/>
      </border>
    </dxf>
    <dxf>
      <border>
        <bottom style="thin">
          <color theme="0"/>
        </bottom>
        <vertical/>
        <horizontal/>
      </border>
    </dxf>
    <dxf>
      <fill>
        <patternFill>
          <bgColor theme="4" tint="0.79998168889431442"/>
        </patternFill>
      </fill>
    </dxf>
    <dxf>
      <border>
        <left style="thin">
          <color theme="0"/>
        </left>
        <vertical/>
        <horizontal/>
      </border>
    </dxf>
    <dxf>
      <font>
        <b/>
        <i val="0"/>
      </font>
      <fill>
        <patternFill>
          <bgColor theme="4" tint="0.79998168889431442"/>
        </patternFill>
      </fill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border>
        <bottom style="thin">
          <color theme="0"/>
        </bottom>
        <vertical/>
        <horizontal/>
      </border>
    </dxf>
    <dxf>
      <fill>
        <patternFill>
          <bgColor theme="4" tint="0.79998168889431442"/>
        </patternFill>
      </fill>
    </dxf>
    <dxf>
      <border>
        <left style="thin">
          <color theme="0"/>
        </left>
        <vertical/>
        <horizontal/>
      </border>
    </dxf>
    <dxf>
      <font>
        <b/>
        <i val="0"/>
      </font>
      <fill>
        <patternFill>
          <bgColor theme="4" tint="0.79998168889431442"/>
        </patternFill>
      </fill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border>
        <bottom style="thin">
          <color theme="0"/>
        </bottom>
        <vertical/>
        <horizontal/>
      </border>
    </dxf>
    <dxf>
      <fill>
        <patternFill>
          <bgColor theme="4" tint="0.79998168889431442"/>
        </patternFill>
      </fill>
    </dxf>
    <dxf>
      <border>
        <left style="thin">
          <color theme="0"/>
        </left>
        <vertical/>
        <horizontal/>
      </border>
    </dxf>
    <dxf>
      <font>
        <b/>
        <i val="0"/>
      </font>
      <fill>
        <patternFill>
          <bgColor theme="4" tint="0.79998168889431442"/>
        </patternFill>
      </fill>
    </dxf>
    <dxf>
      <font>
        <color theme="0" tint="-0.24994659260841701"/>
      </font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border>
        <bottom style="thin">
          <color theme="0"/>
        </bottom>
        <vertical/>
        <horizontal/>
      </border>
    </dxf>
    <dxf>
      <fill>
        <patternFill>
          <bgColor theme="4" tint="0.79998168889431442"/>
        </patternFill>
      </fill>
    </dxf>
    <dxf>
      <border>
        <left style="thin">
          <color theme="0"/>
        </left>
        <vertical/>
        <horizontal/>
      </border>
    </dxf>
    <dxf>
      <font>
        <b/>
        <i val="0"/>
      </font>
      <fill>
        <patternFill>
          <bgColor theme="4" tint="0.79998168889431442"/>
        </patternFill>
      </fill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name val="Microsoft JhengHei UI"/>
        <family val="2"/>
        <charset val="136"/>
        <scheme val="none"/>
      </font>
    </dxf>
    <dxf>
      <font>
        <b/>
        <i val="0"/>
        <color theme="4" tint="-0.499984740745262"/>
      </font>
      <border diagonalUp="0" diagonalDown="0">
        <left style="thin">
          <color theme="4" tint="-0.499984740745262"/>
        </left>
        <right/>
        <top/>
        <bottom style="thin">
          <color theme="4" tint="-0.499984740745262"/>
        </bottom>
        <vertical/>
        <horizontal/>
      </border>
    </dxf>
    <dxf>
      <font>
        <b/>
        <i val="0"/>
        <color theme="4" tint="-0.499984740745262"/>
      </font>
      <border diagonalUp="0" diagonalDown="0">
        <left/>
        <right/>
        <top/>
        <bottom style="thin">
          <color theme="4" tint="-0.499984740745262"/>
        </bottom>
        <vertical/>
        <horizontal/>
      </border>
    </dxf>
    <dxf>
      <border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horizontal style="thin">
          <color theme="5" tint="-0.499984740745262"/>
        </horizontal>
      </border>
    </dxf>
  </dxfs>
  <tableStyles count="1" defaultTableStyle="Assignments" defaultPivotStyle="PivotStyleLight16">
    <tableStyle name="Assignments" pivot="0" count="3" xr9:uid="{00000000-0011-0000-FFFF-FFFF00000000}">
      <tableStyleElement type="wholeTable" dxfId="154"/>
      <tableStyleElement type="headerRow" dxfId="153"/>
      <tableStyleElement type="firstColumn" dxfId="15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7_月作業" displayName="_7_月作業" ref="L1:O43" totalsRowShown="0" headerRowDxfId="151" dataDxfId="150">
  <autoFilter ref="L1:O43" xr:uid="{00000000-0009-0000-0100-000007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600-000001000000}" name="星期幾" dataDxfId="149"/>
    <tableColumn id="2" xr3:uid="{00000000-0010-0000-0600-000002000000}" name="日期" dataDxfId="148" dataCellStyle="日期"/>
    <tableColumn id="3" xr3:uid="{00000000-0010-0000-0600-000003000000}" name="完成事項" dataDxfId="147"/>
    <tableColumn id="5" xr3:uid="{0F2F8670-0673-428B-B27B-7B422E414A5A}" name="備忘錄" dataDxfId="146"/>
  </tableColumns>
  <tableStyleInfo name="Assignments" showFirstColumn="1" showLastColumn="0" showRowStripes="1" showColumnStripes="0"/>
  <extLst>
    <ext xmlns:x14="http://schemas.microsoft.com/office/spreadsheetml/2009/9/main" uri="{504A1905-F514-4f6f-8877-14C23A59335A}">
      <x14:table altTextSummary="在欄 J 中輸入星期幾的日期和作業。此工作表中這個月份的行事曆會醒目提示相關作業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8_月作業" displayName="_8_月作業" ref="L1:O43" totalsRowShown="0" headerRowDxfId="145" dataDxfId="144">
  <autoFilter ref="L1:O43" xr:uid="{00000000-0009-0000-0100-000008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700-000001000000}" name="星期幾" dataDxfId="143"/>
    <tableColumn id="2" xr3:uid="{00000000-0010-0000-0700-000002000000}" name="行事曆日" dataDxfId="142"/>
    <tableColumn id="3" xr3:uid="{00000000-0010-0000-0700-000003000000}" name="完成事項" dataDxfId="141"/>
    <tableColumn id="4" xr3:uid="{6793A055-D13D-4081-A6A9-73ABE17E2A08}" name="備忘錄" dataDxfId="140"/>
  </tableColumns>
  <tableStyleInfo name="Assignments" showFirstColumn="1" showLastColumn="0" showRowStripes="1" showColumnStripes="0"/>
  <extLst>
    <ext xmlns:x14="http://schemas.microsoft.com/office/spreadsheetml/2009/9/main" uri="{504A1905-F514-4f6f-8877-14C23A59335A}">
      <x14:table altTextSummary="在欄 J 中輸入星期幾的日期和作業。此工作表中這個月份的行事曆會醒目提示相關作業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9_月作業" displayName="_9_月作業" ref="L1:O43" totalsRowShown="0" headerRowDxfId="139" dataDxfId="138">
  <autoFilter ref="L1:O43" xr:uid="{00000000-0009-0000-0100-000009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800-000001000000}" name="星期幾" dataDxfId="137"/>
    <tableColumn id="2" xr3:uid="{00000000-0010-0000-0800-000002000000}" name="行事曆日" dataDxfId="136" dataCellStyle="日期"/>
    <tableColumn id="3" xr3:uid="{00000000-0010-0000-0800-000003000000}" name="完成事項&amp;備忘錄" dataDxfId="135"/>
    <tableColumn id="4" xr3:uid="{12E1C68C-7D19-4369-8797-54FE5254FC79}" name="備忘錄" dataDxfId="134"/>
  </tableColumns>
  <tableStyleInfo name="Assignments" showFirstColumn="1" showLastColumn="0" showRowStripes="1" showColumnStripes="0"/>
  <extLst>
    <ext xmlns:x14="http://schemas.microsoft.com/office/spreadsheetml/2009/9/main" uri="{504A1905-F514-4f6f-8877-14C23A59335A}">
      <x14:table altTextSummary="在欄 J 中輸入星期幾的日期和作業。此工作表中這個月份的行事曆會醒目提示相關作業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10_月作業" displayName="_10_月作業" ref="L1:O43" totalsRowShown="0" headerRowDxfId="133" dataDxfId="132">
  <autoFilter ref="L1:O43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900-000001000000}" name="星期幾" dataDxfId="131"/>
    <tableColumn id="2" xr3:uid="{00000000-0010-0000-0900-000002000000}" name="行事曆日" dataDxfId="130" dataCellStyle="日期"/>
    <tableColumn id="3" xr3:uid="{00000000-0010-0000-0900-000003000000}" name="完成事項" dataDxfId="129"/>
    <tableColumn id="4" xr3:uid="{0C100B9A-B6E8-4D1C-A9AB-923150BCF325}" name="備忘錄" dataDxfId="128"/>
  </tableColumns>
  <tableStyleInfo name="Assignments" showFirstColumn="1" showLastColumn="0" showRowStripes="1" showColumnStripes="0"/>
  <extLst>
    <ext xmlns:x14="http://schemas.microsoft.com/office/spreadsheetml/2009/9/main" uri="{504A1905-F514-4f6f-8877-14C23A59335A}">
      <x14:table altTextSummary="在欄 J 中輸入星期幾的日期和作業。此工作表中這個月份的行事曆會醒目提示相關作業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11_月作業" displayName="_11_月作業" ref="L1:O43" totalsRowShown="0" headerRowDxfId="127" dataDxfId="126">
  <autoFilter ref="L1:O43" xr:uid="{00000000-0009-0000-0100-00000B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A00-000001000000}" name="星期幾" dataDxfId="125"/>
    <tableColumn id="2" xr3:uid="{00000000-0010-0000-0A00-000002000000}" name="行事曆日" dataDxfId="124" dataCellStyle="日期"/>
    <tableColumn id="3" xr3:uid="{00000000-0010-0000-0A00-000003000000}" name="完成事項" dataDxfId="123"/>
    <tableColumn id="4" xr3:uid="{CFB14A38-C30E-47D0-BF11-ADFB28F5F93B}" name="備忘錄" dataDxfId="122"/>
  </tableColumns>
  <tableStyleInfo name="Assignments" showFirstColumn="1" showLastColumn="0" showRowStripes="1" showColumnStripes="0"/>
  <extLst>
    <ext xmlns:x14="http://schemas.microsoft.com/office/spreadsheetml/2009/9/main" uri="{504A1905-F514-4f6f-8877-14C23A59335A}">
      <x14:table altTextSummary="在欄 J 中輸入星期幾的日期和作業。此工作表中這個月份的行事曆會醒目提示相關作業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12_月作業" displayName="_12_月作業" ref="L1:O43" totalsRowShown="0" headerRowDxfId="121" dataDxfId="120">
  <autoFilter ref="L1:O43" xr:uid="{00000000-0009-0000-0100-00000C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B00-000001000000}" name="星期幾" dataDxfId="119"/>
    <tableColumn id="2" xr3:uid="{00000000-0010-0000-0B00-000002000000}" name="行事曆日" dataDxfId="118" dataCellStyle="日期"/>
    <tableColumn id="3" xr3:uid="{00000000-0010-0000-0B00-000003000000}" name="完成事項" dataDxfId="117"/>
    <tableColumn id="4" xr3:uid="{1100A609-F299-4C3C-9EC4-DEAC00FB7A74}" name="備忘錄" dataDxfId="116"/>
  </tableColumns>
  <tableStyleInfo name="Assignments" showFirstColumn="1" showLastColumn="0" showRowStripes="1" showColumnStripes="0"/>
  <extLst>
    <ext xmlns:x14="http://schemas.microsoft.com/office/spreadsheetml/2009/9/main" uri="{504A1905-F514-4f6f-8877-14C23A59335A}">
      <x14:table altTextSummary="在欄 J 中輸入星期幾的日期和作業。此工作表中這個月份的行事曆會醒目提示相關作業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1_月作業" displayName="_1_月作業" ref="J1:L31" totalsRowShown="0" headerRowDxfId="115" dataDxfId="114">
  <autoFilter ref="J1:L31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星期幾" dataDxfId="113"/>
    <tableColumn id="2" xr3:uid="{00000000-0010-0000-0000-000002000000}" name="行事曆日" dataDxfId="112" dataCellStyle="日期"/>
    <tableColumn id="3" xr3:uid="{00000000-0010-0000-0000-000003000000}" name="作業" dataDxfId="111"/>
  </tableColumns>
  <tableStyleInfo name="Assignments" showFirstColumn="1" showLastColumn="0" showRowStripes="1" showColumnStripes="0"/>
  <extLst>
    <ext xmlns:x14="http://schemas.microsoft.com/office/spreadsheetml/2009/9/main" uri="{504A1905-F514-4f6f-8877-14C23A59335A}">
      <x14:table altTextSummary="在欄 J 中輸入星期幾的日期和作業。此工作表中這個月份的行事曆會醒目提示相關作業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2_月作業" displayName="_2_月作業" ref="J1:L31" totalsRowShown="0" headerRowDxfId="110" dataDxfId="109">
  <autoFilter ref="J1:L31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100-000001000000}" name="星期幾" dataDxfId="108"/>
    <tableColumn id="2" xr3:uid="{00000000-0010-0000-0100-000002000000}" name="行事曆日" dataDxfId="107" dataCellStyle="日期"/>
    <tableColumn id="3" xr3:uid="{00000000-0010-0000-0100-000003000000}" name="作業" dataDxfId="106"/>
  </tableColumns>
  <tableStyleInfo name="Assignments" showFirstColumn="1" showLastColumn="0" showRowStripes="1" showColumnStripes="0"/>
  <extLst>
    <ext xmlns:x14="http://schemas.microsoft.com/office/spreadsheetml/2009/9/main" uri="{504A1905-F514-4f6f-8877-14C23A59335A}">
      <x14:table altTextSummary="在欄 J 中輸入星期幾的日期和作業。此工作表中這個月份的行事曆會醒目提示相關作業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3_月作業" displayName="_3_月作業" ref="J1:L31" totalsRowShown="0" headerRowDxfId="105" dataDxfId="104">
  <autoFilter ref="J1:L31" xr:uid="{00000000-0009-0000-0100-000003000000}">
    <filterColumn colId="0" hiddenButton="1"/>
    <filterColumn colId="1" hiddenButton="1"/>
    <filterColumn colId="2" hiddenButton="1"/>
  </autoFilter>
  <tableColumns count="3">
    <tableColumn id="1" xr3:uid="{00000000-0010-0000-0200-000001000000}" name="星期幾" dataDxfId="103"/>
    <tableColumn id="2" xr3:uid="{00000000-0010-0000-0200-000002000000}" name="行事曆日" dataDxfId="102" dataCellStyle="日期"/>
    <tableColumn id="3" xr3:uid="{00000000-0010-0000-0200-000003000000}" name="作業" dataDxfId="101"/>
  </tableColumns>
  <tableStyleInfo name="Assignments" showFirstColumn="1" showLastColumn="0" showRowStripes="1" showColumnStripes="0"/>
  <extLst>
    <ext xmlns:x14="http://schemas.microsoft.com/office/spreadsheetml/2009/9/main" uri="{504A1905-F514-4f6f-8877-14C23A59335A}">
      <x14:table altTextSummary="在欄 J 中輸入星期幾的日期和作業。此工作表中這個月份的行事曆會醒目提示相關作業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4_月作業" displayName="_4_月作業" ref="J1:L31" totalsRowShown="0" headerRowDxfId="100" dataDxfId="99">
  <autoFilter ref="J1:L31" xr:uid="{00000000-0009-0000-0100-000004000000}">
    <filterColumn colId="0" hiddenButton="1"/>
    <filterColumn colId="1" hiddenButton="1"/>
    <filterColumn colId="2" hiddenButton="1"/>
  </autoFilter>
  <tableColumns count="3">
    <tableColumn id="1" xr3:uid="{00000000-0010-0000-0300-000001000000}" name="星期幾" dataDxfId="98"/>
    <tableColumn id="2" xr3:uid="{00000000-0010-0000-0300-000002000000}" name="行事曆日" dataDxfId="97" dataCellStyle="日期"/>
    <tableColumn id="3" xr3:uid="{00000000-0010-0000-0300-000003000000}" name="作業" dataDxfId="96"/>
  </tableColumns>
  <tableStyleInfo name="Assignments" showFirstColumn="1" showLastColumn="0" showRowStripes="1" showColumnStripes="0"/>
  <extLst>
    <ext xmlns:x14="http://schemas.microsoft.com/office/spreadsheetml/2009/9/main" uri="{504A1905-F514-4f6f-8877-14C23A59335A}">
      <x14:table altTextSummary="在欄 J 中輸入星期幾的日期和作業。此工作表中這個月份的行事曆會醒目提示相關作業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5_月作業" displayName="_5_月作業" ref="J1:L31" totalsRowShown="0" headerRowDxfId="95" dataDxfId="94">
  <autoFilter ref="J1:L31" xr:uid="{00000000-0009-0000-0100-000005000000}">
    <filterColumn colId="0" hiddenButton="1"/>
    <filterColumn colId="1" hiddenButton="1"/>
    <filterColumn colId="2" hiddenButton="1"/>
  </autoFilter>
  <tableColumns count="3">
    <tableColumn id="1" xr3:uid="{00000000-0010-0000-0400-000001000000}" name="星期幾" dataDxfId="93"/>
    <tableColumn id="2" xr3:uid="{00000000-0010-0000-0400-000002000000}" name="行事曆日" dataDxfId="92" dataCellStyle="日期"/>
    <tableColumn id="3" xr3:uid="{00000000-0010-0000-0400-000003000000}" name="作業" dataDxfId="91"/>
  </tableColumns>
  <tableStyleInfo name="Assignments" showFirstColumn="1" showLastColumn="0" showRowStripes="1" showColumnStripes="0"/>
  <extLst>
    <ext xmlns:x14="http://schemas.microsoft.com/office/spreadsheetml/2009/9/main" uri="{504A1905-F514-4f6f-8877-14C23A59335A}">
      <x14:table altTextSummary="在欄 J 中輸入星期幾的日期和作業。此工作表中這個月份的行事曆會醒目提示相關作業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6_月作業" displayName="_6_月作業" ref="J1:L31" totalsRowShown="0" headerRowDxfId="90" dataDxfId="89">
  <autoFilter ref="J1:L31" xr:uid="{00000000-0009-0000-0100-000006000000}">
    <filterColumn colId="0" hiddenButton="1"/>
    <filterColumn colId="1" hiddenButton="1"/>
    <filterColumn colId="2" hiddenButton="1"/>
  </autoFilter>
  <tableColumns count="3">
    <tableColumn id="1" xr3:uid="{00000000-0010-0000-0500-000001000000}" name="星期幾" dataDxfId="88"/>
    <tableColumn id="2" xr3:uid="{00000000-0010-0000-0500-000002000000}" name="行事曆日" dataDxfId="87" dataCellStyle="日期"/>
    <tableColumn id="3" xr3:uid="{00000000-0010-0000-0500-000003000000}" name="作業" dataDxfId="86"/>
  </tableColumns>
  <tableStyleInfo name="Assignments" showFirstColumn="1" showLastColumn="0" showRowStripes="1" showColumnStripes="0"/>
  <extLst>
    <ext xmlns:x14="http://schemas.microsoft.com/office/spreadsheetml/2009/9/main" uri="{504A1905-F514-4f6f-8877-14C23A59335A}">
      <x14:table altTextSummary="在欄 J 中輸入星期幾的日期和作業。此工作表中這個月份的行事曆會醒目提示相關作業"/>
    </ext>
  </extLst>
</table>
</file>

<file path=xl/theme/theme1.xml><?xml version="1.0" encoding="utf-8"?>
<a:theme xmlns:a="http://schemas.openxmlformats.org/drawingml/2006/main" name="10_college_cal">
  <a:themeElements>
    <a:clrScheme name="Assignment Calenda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39B5D4"/>
      </a:accent1>
      <a:accent2>
        <a:srgbClr val="FFCCCC"/>
      </a:accent2>
      <a:accent3>
        <a:srgbClr val="4DBB68"/>
      </a:accent3>
      <a:accent4>
        <a:srgbClr val="FFFB59"/>
      </a:accent4>
      <a:accent5>
        <a:srgbClr val="FF9900"/>
      </a:accent5>
      <a:accent6>
        <a:srgbClr val="AC75D5"/>
      </a:accent6>
      <a:hlink>
        <a:srgbClr val="57B5D4"/>
      </a:hlink>
      <a:folHlink>
        <a:srgbClr val="BA4F8B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  <pageSetUpPr fitToPage="1"/>
  </sheetPr>
  <dimension ref="A1:O43"/>
  <sheetViews>
    <sheetView showGridLines="0" tabSelected="1" topLeftCell="C1" zoomScale="79" zoomScaleNormal="79" zoomScalePageLayoutView="84" workbookViewId="0">
      <selection activeCell="J6" sqref="J6"/>
    </sheetView>
  </sheetViews>
  <sheetFormatPr defaultColWidth="8.796875" defaultRowHeight="30" customHeight="1"/>
  <cols>
    <col min="1" max="1" width="2.796875" style="4" customWidth="1"/>
    <col min="2" max="2" width="20.796875" style="1" customWidth="1"/>
    <col min="3" max="8" width="10.796875" style="4" customWidth="1"/>
    <col min="9" max="11" width="20.796875" style="4" customWidth="1"/>
    <col min="12" max="12" width="10.796875" style="1" customWidth="1"/>
    <col min="13" max="13" width="10.796875" style="4" customWidth="1"/>
    <col min="14" max="14" width="70.796875" style="4" customWidth="1"/>
    <col min="15" max="15" width="79.3984375" style="57" customWidth="1"/>
    <col min="16" max="16384" width="8.796875" style="4"/>
  </cols>
  <sheetData>
    <row r="1" spans="1:15" ht="30" customHeight="1">
      <c r="A1" s="1"/>
      <c r="B1" s="29">
        <f>_xlfn.SINGLE(行事曆年份)</f>
        <v>2026</v>
      </c>
      <c r="L1" s="5" t="s">
        <v>23</v>
      </c>
      <c r="M1" s="5" t="s">
        <v>46</v>
      </c>
      <c r="N1" s="58" t="s">
        <v>41</v>
      </c>
      <c r="O1" s="58" t="s">
        <v>45</v>
      </c>
    </row>
    <row r="2" spans="1:15" ht="30" customHeight="1">
      <c r="A2" s="7"/>
      <c r="B2" s="30" t="s">
        <v>34</v>
      </c>
      <c r="C2" s="9" t="s">
        <v>13</v>
      </c>
      <c r="D2" s="9" t="s">
        <v>5</v>
      </c>
      <c r="E2" s="9" t="s">
        <v>14</v>
      </c>
      <c r="F2" s="9" t="s">
        <v>19</v>
      </c>
      <c r="G2" s="9" t="s">
        <v>20</v>
      </c>
      <c r="H2" s="9" t="s">
        <v>21</v>
      </c>
      <c r="I2" s="9" t="s">
        <v>22</v>
      </c>
      <c r="J2" s="9"/>
      <c r="K2" s="9"/>
      <c r="L2" s="10" t="s">
        <v>5</v>
      </c>
      <c r="M2" s="35"/>
      <c r="O2" s="54"/>
    </row>
    <row r="3" spans="1:15" ht="30" customHeight="1">
      <c r="A3" s="7"/>
      <c r="C3" s="47">
        <f>IF(DAY(JulSun1)=1,JulSun1-6,JulSun1+1)</f>
        <v>46201</v>
      </c>
      <c r="D3" s="47">
        <f>IF(DAY(JulSun1)=1,JulSun1-5,JulSun1+2)</f>
        <v>46202</v>
      </c>
      <c r="E3" s="47">
        <f>IF(DAY(JulSun1)=1,JulSun1-4,JulSun1+3)</f>
        <v>46203</v>
      </c>
      <c r="F3" s="47">
        <f>IF(DAY(JulSun1)=1,JulSun1-3,JulSun1+4)</f>
        <v>46204</v>
      </c>
      <c r="G3" s="47">
        <f>IF(DAY(JulSun1)=1,JulSun1-2,JulSun1+5)</f>
        <v>46205</v>
      </c>
      <c r="H3" s="47">
        <f>IF(DAY(JulSun1)=1,JulSun1-1,JulSun1+6)</f>
        <v>46206</v>
      </c>
      <c r="I3" s="47">
        <f>IF(DAY(JulSun1)=1,JulSun1,JulSun1+7)</f>
        <v>46207</v>
      </c>
      <c r="J3" s="47"/>
      <c r="K3" s="47"/>
      <c r="L3" s="10"/>
      <c r="M3" s="11"/>
      <c r="O3" s="54"/>
    </row>
    <row r="4" spans="1:15" ht="30" customHeight="1">
      <c r="A4" s="7"/>
      <c r="C4" s="47">
        <f>IF(DAY(JulSun1)=1,JulSun1+1,JulSun1+8)</f>
        <v>46208</v>
      </c>
      <c r="D4" s="47">
        <f>IF(DAY(JulSun1)=1,JulSun1+2,JulSun1+9)</f>
        <v>46209</v>
      </c>
      <c r="E4" s="47">
        <f>IF(DAY(JulSun1)=1,JulSun1+3,JulSun1+10)</f>
        <v>46210</v>
      </c>
      <c r="F4" s="47">
        <f>IF(DAY(JulSun1)=1,JulSun1+4,JulSun1+11)</f>
        <v>46211</v>
      </c>
      <c r="G4" s="47">
        <f>IF(DAY(JulSun1)=1,JulSun1+5,JulSun1+12)</f>
        <v>46212</v>
      </c>
      <c r="H4" s="47">
        <f>IF(DAY(JulSun1)=1,JulSun1+6,JulSun1+13)</f>
        <v>46213</v>
      </c>
      <c r="I4" s="47">
        <f>IF(DAY(JulSun1)=1,JulSun1+7,JulSun1+14)</f>
        <v>46214</v>
      </c>
      <c r="J4" s="47"/>
      <c r="K4" s="47"/>
      <c r="L4" s="10"/>
      <c r="M4" s="11"/>
      <c r="O4" s="54"/>
    </row>
    <row r="5" spans="1:15" ht="30" customHeight="1">
      <c r="A5" s="7"/>
      <c r="C5" s="47">
        <f>IF(DAY(JulSun1)=1,JulSun1+8,JulSun1+15)</f>
        <v>46215</v>
      </c>
      <c r="D5" s="47">
        <f>IF(DAY(JulSun1)=1,JulSun1+9,JulSun1+16)</f>
        <v>46216</v>
      </c>
      <c r="E5" s="47">
        <f>IF(DAY(JulSun1)=1,JulSun1+10,JulSun1+17)</f>
        <v>46217</v>
      </c>
      <c r="F5" s="47">
        <f>IF(DAY(JulSun1)=1,JulSun1+11,JulSun1+18)</f>
        <v>46218</v>
      </c>
      <c r="G5" s="47">
        <f>IF(DAY(JulSun1)=1,JulSun1+12,JulSun1+19)</f>
        <v>46219</v>
      </c>
      <c r="H5" s="47">
        <f>IF(DAY(JulSun1)=1,JulSun1+13,JulSun1+20)</f>
        <v>46220</v>
      </c>
      <c r="I5" s="47">
        <f>IF(DAY(JulSun1)=1,JulSun1+14,JulSun1+21)</f>
        <v>46221</v>
      </c>
      <c r="J5" s="47"/>
      <c r="K5" s="47"/>
      <c r="L5" s="10"/>
      <c r="M5" s="11"/>
      <c r="O5" s="54"/>
    </row>
    <row r="6" spans="1:15" ht="30" customHeight="1">
      <c r="A6" s="7"/>
      <c r="C6" s="47">
        <f>IF(DAY(JulSun1)=1,JulSun1+15,JulSun1+22)</f>
        <v>46222</v>
      </c>
      <c r="D6" s="47">
        <f>IF(DAY(JulSun1)=1,JulSun1+16,JulSun1+23)</f>
        <v>46223</v>
      </c>
      <c r="E6" s="47">
        <f>IF(DAY(JulSun1)=1,JulSun1+17,JulSun1+24)</f>
        <v>46224</v>
      </c>
      <c r="F6" s="47">
        <f>IF(DAY(JulSun1)=1,JulSun1+18,JulSun1+25)</f>
        <v>46225</v>
      </c>
      <c r="G6" s="47">
        <f>IF(DAY(JulSun1)=1,JulSun1+19,JulSun1+26)</f>
        <v>46226</v>
      </c>
      <c r="H6" s="47">
        <f>IF(DAY(JulSun1)=1,JulSun1+20,JulSun1+27)</f>
        <v>46227</v>
      </c>
      <c r="I6" s="47">
        <f>IF(DAY(JulSun1)=1,JulSun1+21,JulSun1+28)</f>
        <v>46228</v>
      </c>
      <c r="J6" s="47"/>
      <c r="K6" s="47"/>
      <c r="L6" s="10"/>
      <c r="M6" s="11"/>
      <c r="O6" s="54"/>
    </row>
    <row r="7" spans="1:15" ht="30" customHeight="1">
      <c r="A7" s="7"/>
      <c r="C7" s="47">
        <f>IF(DAY(JulSun1)=1,JulSun1+22,JulSun1+29)</f>
        <v>46229</v>
      </c>
      <c r="D7" s="47">
        <f>IF(DAY(JulSun1)=1,JulSun1+23,JulSun1+30)</f>
        <v>46230</v>
      </c>
      <c r="E7" s="47">
        <f>IF(DAY(JulSun1)=1,JulSun1+24,JulSun1+31)</f>
        <v>46231</v>
      </c>
      <c r="F7" s="47">
        <f>IF(DAY(JulSun1)=1,JulSun1+25,JulSun1+32)</f>
        <v>46232</v>
      </c>
      <c r="G7" s="47">
        <f>IF(DAY(JulSun1)=1,JulSun1+26,JulSun1+33)</f>
        <v>46233</v>
      </c>
      <c r="H7" s="47">
        <f>IF(DAY(JulSun1)=1,JulSun1+27,JulSun1+34)</f>
        <v>46234</v>
      </c>
      <c r="I7" s="47">
        <f>IF(DAY(JulSun1)=1,JulSun1+28,JulSun1+35)</f>
        <v>46235</v>
      </c>
      <c r="J7" s="47"/>
      <c r="K7" s="47"/>
      <c r="L7" s="36"/>
      <c r="M7" s="37"/>
      <c r="N7" s="26"/>
      <c r="O7" s="54"/>
    </row>
    <row r="8" spans="1:15" ht="30" customHeight="1">
      <c r="A8" s="7"/>
      <c r="B8" s="15"/>
      <c r="C8" s="47">
        <f>IF(DAY(JulSun1)=1,JulSun1+29,JulSun1+36)</f>
        <v>46236</v>
      </c>
      <c r="D8" s="47">
        <f>IF(DAY(JulSun1)=1,JulSun1+30,JulSun1+37)</f>
        <v>46237</v>
      </c>
      <c r="E8" s="47">
        <f>IF(DAY(JulSun1)=1,JulSun1+31,JulSun1+38)</f>
        <v>46238</v>
      </c>
      <c r="F8" s="47">
        <f>IF(DAY(JulSun1)=1,JulSun1+32,JulSun1+39)</f>
        <v>46239</v>
      </c>
      <c r="G8" s="47">
        <f>IF(DAY(JulSun1)=1,JulSun1+33,JulSun1+40)</f>
        <v>46240</v>
      </c>
      <c r="H8" s="47">
        <f>IF(DAY(JulSun1)=1,JulSun1+34,JulSun1+41)</f>
        <v>46241</v>
      </c>
      <c r="I8" s="47">
        <f>IF(DAY(JulSun1)=1,JulSun1+35,JulSun1+42)</f>
        <v>46242</v>
      </c>
      <c r="J8" s="47"/>
      <c r="K8" s="47"/>
      <c r="L8" s="10" t="s">
        <v>14</v>
      </c>
      <c r="M8" s="35">
        <v>14</v>
      </c>
      <c r="N8" s="4" t="s">
        <v>53</v>
      </c>
      <c r="O8" s="54" t="s">
        <v>52</v>
      </c>
    </row>
    <row r="9" spans="1:15" ht="30" customHeight="1">
      <c r="A9" s="7"/>
      <c r="C9" s="31"/>
      <c r="D9" s="31"/>
      <c r="E9" s="31"/>
      <c r="F9" s="31"/>
      <c r="G9" s="31"/>
      <c r="H9" s="31"/>
      <c r="I9" s="31"/>
      <c r="J9" s="31"/>
      <c r="K9" s="31"/>
      <c r="L9" s="10"/>
      <c r="M9" s="11"/>
      <c r="O9" s="54"/>
    </row>
    <row r="10" spans="1:15" ht="30" customHeight="1">
      <c r="A10" s="7"/>
      <c r="B10" s="16" t="s">
        <v>42</v>
      </c>
      <c r="C10" s="17"/>
      <c r="D10" s="17"/>
      <c r="E10" s="17"/>
      <c r="F10" s="17"/>
      <c r="G10" s="17"/>
      <c r="H10" s="17"/>
      <c r="I10" s="17"/>
      <c r="J10" s="17"/>
      <c r="K10" s="17"/>
      <c r="L10" s="10"/>
      <c r="M10" s="11"/>
      <c r="O10" s="54"/>
    </row>
    <row r="11" spans="1:15" ht="30" customHeight="1">
      <c r="A11" s="18" t="s">
        <v>23</v>
      </c>
      <c r="B11" s="19" t="s">
        <v>43</v>
      </c>
      <c r="C11" s="76" t="s">
        <v>14</v>
      </c>
      <c r="D11" s="77"/>
      <c r="E11" s="76" t="s">
        <v>19</v>
      </c>
      <c r="F11" s="77"/>
      <c r="G11" s="76" t="s">
        <v>20</v>
      </c>
      <c r="H11" s="77"/>
      <c r="I11" s="73" t="s">
        <v>21</v>
      </c>
      <c r="J11" s="74" t="s">
        <v>47</v>
      </c>
      <c r="K11" s="20" t="s">
        <v>48</v>
      </c>
      <c r="L11" s="10"/>
      <c r="M11" s="11"/>
      <c r="O11" s="54"/>
    </row>
    <row r="12" spans="1:15" ht="30" customHeight="1">
      <c r="A12" s="18" t="s">
        <v>1</v>
      </c>
      <c r="B12" s="53"/>
      <c r="C12" s="78"/>
      <c r="D12" s="78"/>
      <c r="E12" s="78"/>
      <c r="F12" s="78"/>
      <c r="G12" s="78"/>
      <c r="H12" s="78"/>
      <c r="I12" s="32"/>
      <c r="J12" s="65"/>
      <c r="K12" s="65"/>
      <c r="L12" s="10"/>
      <c r="M12" s="11"/>
      <c r="O12" s="54"/>
    </row>
    <row r="13" spans="1:15" ht="30" customHeight="1">
      <c r="A13" s="18" t="s">
        <v>2</v>
      </c>
      <c r="B13" s="23"/>
      <c r="C13" s="79"/>
      <c r="D13" s="79"/>
      <c r="E13" s="79"/>
      <c r="F13" s="79"/>
      <c r="G13" s="79"/>
      <c r="H13" s="79"/>
      <c r="I13" s="23"/>
      <c r="J13" s="49"/>
      <c r="K13" s="49"/>
      <c r="L13" s="36"/>
      <c r="M13" s="37"/>
      <c r="N13" s="26"/>
      <c r="O13" s="54"/>
    </row>
    <row r="14" spans="1:15" ht="30" customHeight="1">
      <c r="A14" s="18" t="s">
        <v>1</v>
      </c>
      <c r="B14" s="21"/>
      <c r="C14" s="78"/>
      <c r="D14" s="78"/>
      <c r="E14" s="78"/>
      <c r="F14" s="78"/>
      <c r="G14" s="78"/>
      <c r="H14" s="78"/>
      <c r="I14" s="32"/>
      <c r="J14" s="65"/>
      <c r="K14" s="65"/>
      <c r="L14" s="10" t="s">
        <v>19</v>
      </c>
      <c r="M14" s="35"/>
      <c r="O14" s="54"/>
    </row>
    <row r="15" spans="1:15" ht="30" customHeight="1">
      <c r="A15" s="18" t="s">
        <v>2</v>
      </c>
      <c r="B15" s="23"/>
      <c r="C15" s="79"/>
      <c r="D15" s="79"/>
      <c r="E15" s="79"/>
      <c r="F15" s="79"/>
      <c r="G15" s="79"/>
      <c r="H15" s="79"/>
      <c r="I15" s="23"/>
      <c r="J15" s="49"/>
      <c r="K15" s="49"/>
      <c r="L15" s="10"/>
      <c r="M15" s="11"/>
      <c r="O15" s="54"/>
    </row>
    <row r="16" spans="1:15" ht="30" customHeight="1">
      <c r="A16" s="18" t="s">
        <v>1</v>
      </c>
      <c r="B16" s="21"/>
      <c r="C16" s="78"/>
      <c r="D16" s="78"/>
      <c r="E16" s="78"/>
      <c r="F16" s="78"/>
      <c r="G16" s="78"/>
      <c r="H16" s="78"/>
      <c r="I16" s="33"/>
      <c r="J16" s="65"/>
      <c r="K16" s="65"/>
      <c r="L16" s="10"/>
      <c r="M16" s="11"/>
      <c r="O16" s="54"/>
    </row>
    <row r="17" spans="1:15" ht="30" customHeight="1">
      <c r="A17" s="18" t="s">
        <v>2</v>
      </c>
      <c r="B17" s="23"/>
      <c r="C17" s="79"/>
      <c r="D17" s="79"/>
      <c r="E17" s="79"/>
      <c r="F17" s="79"/>
      <c r="G17" s="79"/>
      <c r="H17" s="79"/>
      <c r="I17" s="23"/>
      <c r="J17" s="49"/>
      <c r="K17" s="49"/>
      <c r="L17" s="10"/>
      <c r="M17" s="11"/>
      <c r="O17" s="54"/>
    </row>
    <row r="18" spans="1:15" ht="30" customHeight="1">
      <c r="A18" s="18" t="s">
        <v>1</v>
      </c>
      <c r="B18" s="21"/>
      <c r="C18" s="78"/>
      <c r="D18" s="78"/>
      <c r="E18" s="78"/>
      <c r="F18" s="78"/>
      <c r="G18" s="78"/>
      <c r="H18" s="78"/>
      <c r="I18" s="32"/>
      <c r="J18" s="65"/>
      <c r="K18" s="65"/>
      <c r="L18" s="10"/>
      <c r="M18" s="11"/>
      <c r="O18" s="54"/>
    </row>
    <row r="19" spans="1:15" ht="30" customHeight="1">
      <c r="A19" s="18" t="s">
        <v>2</v>
      </c>
      <c r="B19" s="23"/>
      <c r="C19" s="79"/>
      <c r="D19" s="79"/>
      <c r="E19" s="79"/>
      <c r="F19" s="79"/>
      <c r="G19" s="79"/>
      <c r="H19" s="79"/>
      <c r="I19" s="34"/>
      <c r="J19" s="34"/>
      <c r="K19" s="34"/>
      <c r="L19" s="36"/>
      <c r="M19" s="37"/>
      <c r="N19" s="38"/>
      <c r="O19" s="54"/>
    </row>
    <row r="20" spans="1:15" ht="30" customHeight="1">
      <c r="A20" s="18" t="s">
        <v>1</v>
      </c>
      <c r="B20" s="21"/>
      <c r="C20" s="78"/>
      <c r="D20" s="78"/>
      <c r="E20" s="78"/>
      <c r="F20" s="78"/>
      <c r="G20" s="78"/>
      <c r="H20" s="78"/>
      <c r="I20" s="32"/>
      <c r="J20" s="65"/>
      <c r="K20" s="65"/>
      <c r="L20" s="10" t="s">
        <v>20</v>
      </c>
      <c r="M20" s="35"/>
      <c r="O20" s="54"/>
    </row>
    <row r="21" spans="1:15" ht="30" customHeight="1">
      <c r="A21" s="18" t="s">
        <v>2</v>
      </c>
      <c r="B21" s="23"/>
      <c r="C21" s="79"/>
      <c r="D21" s="79"/>
      <c r="E21" s="79"/>
      <c r="F21" s="79"/>
      <c r="G21" s="79"/>
      <c r="H21" s="79"/>
      <c r="I21" s="23"/>
      <c r="J21" s="49"/>
      <c r="K21" s="49"/>
      <c r="L21" s="10"/>
      <c r="M21" s="11"/>
      <c r="O21" s="54"/>
    </row>
    <row r="22" spans="1:15" ht="30" customHeight="1">
      <c r="A22" s="18" t="s">
        <v>1</v>
      </c>
      <c r="B22" s="21"/>
      <c r="C22" s="78"/>
      <c r="D22" s="78"/>
      <c r="E22" s="78"/>
      <c r="F22" s="78"/>
      <c r="G22" s="78"/>
      <c r="H22" s="78"/>
      <c r="I22" s="32"/>
      <c r="J22" s="65"/>
      <c r="K22" s="65"/>
      <c r="L22" s="10"/>
      <c r="M22" s="11"/>
      <c r="O22" s="54"/>
    </row>
    <row r="23" spans="1:15" ht="30" customHeight="1">
      <c r="A23" s="18" t="s">
        <v>2</v>
      </c>
      <c r="B23" s="23"/>
      <c r="C23" s="79"/>
      <c r="D23" s="79"/>
      <c r="E23" s="79"/>
      <c r="F23" s="79"/>
      <c r="G23" s="79"/>
      <c r="H23" s="79"/>
      <c r="I23" s="23"/>
      <c r="J23" s="49"/>
      <c r="K23" s="49"/>
      <c r="L23" s="10"/>
      <c r="M23" s="11"/>
      <c r="O23" s="54"/>
    </row>
    <row r="24" spans="1:15" ht="30" customHeight="1">
      <c r="A24" s="18" t="s">
        <v>1</v>
      </c>
      <c r="B24" s="21"/>
      <c r="C24" s="78"/>
      <c r="D24" s="78"/>
      <c r="E24" s="78"/>
      <c r="F24" s="78"/>
      <c r="G24" s="78"/>
      <c r="H24" s="78"/>
      <c r="I24" s="32"/>
      <c r="J24" s="65"/>
      <c r="K24" s="65"/>
      <c r="L24" s="10"/>
      <c r="M24" s="11"/>
      <c r="O24" s="54"/>
    </row>
    <row r="25" spans="1:15" ht="30" customHeight="1">
      <c r="A25" s="18" t="s">
        <v>2</v>
      </c>
      <c r="B25" s="23"/>
      <c r="C25" s="79"/>
      <c r="D25" s="79"/>
      <c r="E25" s="79"/>
      <c r="F25" s="79"/>
      <c r="G25" s="79"/>
      <c r="H25" s="79"/>
      <c r="I25" s="23"/>
      <c r="J25" s="49"/>
      <c r="K25" s="49"/>
      <c r="L25" s="36"/>
      <c r="M25" s="37"/>
      <c r="N25" s="38"/>
      <c r="O25" s="54"/>
    </row>
    <row r="26" spans="1:15" ht="30" customHeight="1">
      <c r="A26" s="18" t="s">
        <v>1</v>
      </c>
      <c r="B26" s="21"/>
      <c r="C26" s="78"/>
      <c r="D26" s="78"/>
      <c r="E26" s="78"/>
      <c r="F26" s="78"/>
      <c r="G26" s="78"/>
      <c r="H26" s="78"/>
      <c r="I26" s="32"/>
      <c r="J26" s="65"/>
      <c r="K26" s="65"/>
      <c r="L26" s="10" t="s">
        <v>21</v>
      </c>
      <c r="M26" s="35"/>
      <c r="O26" s="54"/>
    </row>
    <row r="27" spans="1:15" ht="30" customHeight="1">
      <c r="A27" s="18" t="s">
        <v>2</v>
      </c>
      <c r="B27" s="23"/>
      <c r="C27" s="79"/>
      <c r="D27" s="79"/>
      <c r="E27" s="79"/>
      <c r="F27" s="79"/>
      <c r="G27" s="79"/>
      <c r="H27" s="79"/>
      <c r="I27" s="23"/>
      <c r="J27" s="49"/>
      <c r="K27" s="49"/>
      <c r="L27" s="10"/>
      <c r="M27" s="11"/>
      <c r="O27" s="54"/>
    </row>
    <row r="28" spans="1:15" ht="30" customHeight="1">
      <c r="A28" s="18" t="s">
        <v>1</v>
      </c>
      <c r="B28" s="21"/>
      <c r="C28" s="78"/>
      <c r="D28" s="78"/>
      <c r="E28" s="78"/>
      <c r="F28" s="78"/>
      <c r="G28" s="78"/>
      <c r="H28" s="78"/>
      <c r="I28" s="32"/>
      <c r="J28" s="65"/>
      <c r="K28" s="65"/>
      <c r="L28" s="10"/>
      <c r="M28" s="11"/>
      <c r="O28" s="54"/>
    </row>
    <row r="29" spans="1:15" ht="30" customHeight="1">
      <c r="A29" s="18" t="s">
        <v>2</v>
      </c>
      <c r="B29" s="23"/>
      <c r="C29" s="79"/>
      <c r="D29" s="79"/>
      <c r="E29" s="79"/>
      <c r="F29" s="79"/>
      <c r="G29" s="79"/>
      <c r="H29" s="79"/>
      <c r="I29" s="23"/>
      <c r="J29" s="49"/>
      <c r="K29" s="49"/>
      <c r="L29" s="10"/>
      <c r="M29" s="11"/>
      <c r="O29" s="54"/>
    </row>
    <row r="30" spans="1:15" ht="30" customHeight="1">
      <c r="A30" s="18" t="s">
        <v>1</v>
      </c>
      <c r="B30" s="21"/>
      <c r="C30" s="78"/>
      <c r="D30" s="78"/>
      <c r="E30" s="78"/>
      <c r="F30" s="78"/>
      <c r="G30" s="78"/>
      <c r="H30" s="78"/>
      <c r="I30" s="32"/>
      <c r="J30" s="65"/>
      <c r="K30" s="65"/>
      <c r="L30" s="10"/>
      <c r="M30" s="11"/>
      <c r="O30" s="54"/>
    </row>
    <row r="31" spans="1:15" ht="30" customHeight="1">
      <c r="A31" s="18" t="s">
        <v>2</v>
      </c>
      <c r="B31" s="27"/>
      <c r="C31" s="80"/>
      <c r="D31" s="80"/>
      <c r="E31" s="80"/>
      <c r="F31" s="80"/>
      <c r="G31" s="80"/>
      <c r="H31" s="80"/>
      <c r="I31" s="27"/>
      <c r="J31" s="72"/>
      <c r="K31" s="72"/>
      <c r="L31" s="10"/>
      <c r="M31" s="63"/>
      <c r="N31" s="40"/>
      <c r="O31" s="54"/>
    </row>
    <row r="32" spans="1:15" ht="30" customHeight="1">
      <c r="L32" s="66" t="s">
        <v>47</v>
      </c>
      <c r="M32" s="67"/>
      <c r="N32" s="56"/>
    </row>
    <row r="33" spans="12:14" ht="30" customHeight="1">
      <c r="L33" s="10"/>
      <c r="M33" s="11"/>
    </row>
    <row r="34" spans="12:14" ht="30" customHeight="1">
      <c r="L34" s="10"/>
      <c r="M34" s="11"/>
    </row>
    <row r="35" spans="12:14" ht="30" customHeight="1">
      <c r="L35" s="10"/>
      <c r="M35" s="11"/>
    </row>
    <row r="36" spans="12:14" ht="30" customHeight="1">
      <c r="L36" s="10"/>
      <c r="M36" s="11"/>
    </row>
    <row r="37" spans="12:14" ht="30" customHeight="1">
      <c r="L37" s="62"/>
      <c r="M37" s="63"/>
      <c r="N37" s="69"/>
    </row>
    <row r="38" spans="12:14" ht="30" customHeight="1">
      <c r="L38" s="66" t="s">
        <v>48</v>
      </c>
      <c r="M38" s="67"/>
      <c r="N38" s="56"/>
    </row>
    <row r="39" spans="12:14" ht="30" customHeight="1">
      <c r="L39" s="10"/>
      <c r="M39" s="11"/>
    </row>
    <row r="40" spans="12:14" ht="30" customHeight="1">
      <c r="L40" s="10"/>
      <c r="M40" s="11"/>
    </row>
    <row r="41" spans="12:14" ht="30" customHeight="1">
      <c r="L41" s="10"/>
      <c r="M41" s="11"/>
    </row>
    <row r="42" spans="12:14" ht="30" customHeight="1">
      <c r="L42" s="10"/>
      <c r="M42" s="11"/>
    </row>
    <row r="43" spans="12:14" ht="30" customHeight="1">
      <c r="L43" s="62"/>
      <c r="M43" s="63"/>
      <c r="N43" s="69"/>
    </row>
  </sheetData>
  <mergeCells count="63">
    <mergeCell ref="C31:D31"/>
    <mergeCell ref="E31:F31"/>
    <mergeCell ref="G31:H31"/>
    <mergeCell ref="C29:D29"/>
    <mergeCell ref="E29:F29"/>
    <mergeCell ref="G29:H29"/>
    <mergeCell ref="C30:D30"/>
    <mergeCell ref="E30:F30"/>
    <mergeCell ref="G30:H30"/>
    <mergeCell ref="C27:D27"/>
    <mergeCell ref="E27:F27"/>
    <mergeCell ref="G27:H27"/>
    <mergeCell ref="C28:D28"/>
    <mergeCell ref="E28:F28"/>
    <mergeCell ref="G28:H28"/>
    <mergeCell ref="C25:D25"/>
    <mergeCell ref="E25:F25"/>
    <mergeCell ref="G25:H25"/>
    <mergeCell ref="C26:D26"/>
    <mergeCell ref="E26:F26"/>
    <mergeCell ref="G26:H26"/>
    <mergeCell ref="C23:D23"/>
    <mergeCell ref="E23:F23"/>
    <mergeCell ref="G23:H23"/>
    <mergeCell ref="C24:D24"/>
    <mergeCell ref="E24:F24"/>
    <mergeCell ref="G24:H24"/>
    <mergeCell ref="C21:D21"/>
    <mergeCell ref="E21:F21"/>
    <mergeCell ref="G21:H21"/>
    <mergeCell ref="C22:D22"/>
    <mergeCell ref="E22:F22"/>
    <mergeCell ref="G22:H22"/>
    <mergeCell ref="C19:D19"/>
    <mergeCell ref="E19:F19"/>
    <mergeCell ref="G19:H19"/>
    <mergeCell ref="C20:D20"/>
    <mergeCell ref="E20:F20"/>
    <mergeCell ref="G20:H20"/>
    <mergeCell ref="C17:D17"/>
    <mergeCell ref="E17:F17"/>
    <mergeCell ref="G17:H17"/>
    <mergeCell ref="C18:D18"/>
    <mergeCell ref="E18:F18"/>
    <mergeCell ref="G18:H18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C11:D11"/>
    <mergeCell ref="E11:F11"/>
    <mergeCell ref="G11:H11"/>
    <mergeCell ref="C12:D12"/>
    <mergeCell ref="E12:F12"/>
    <mergeCell ref="G12:H12"/>
  </mergeCells>
  <phoneticPr fontId="31" type="noConversion"/>
  <conditionalFormatting sqref="B12:K12 B14:K14 B16:K16 B18:K18 B20:K20 B22:K22 B24:K24 B26:K26 B28:K28 B30:K30">
    <cfRule type="expression" dxfId="85" priority="4">
      <formula>B12&lt;&gt;""</formula>
    </cfRule>
  </conditionalFormatting>
  <conditionalFormatting sqref="B12:K31">
    <cfRule type="expression" dxfId="84" priority="1">
      <formula>COLUMN(B12)&gt;2</formula>
    </cfRule>
  </conditionalFormatting>
  <conditionalFormatting sqref="B13:K13 B15:K15 B17:K17 B19:K19 B21:K21 B23:K23 B25:K25 B27:K27 B29:K29 B31:K31">
    <cfRule type="expression" dxfId="83" priority="3">
      <formula>B13&lt;&gt;""</formula>
    </cfRule>
  </conditionalFormatting>
  <conditionalFormatting sqref="B13:K13 B15:K15 B17:K17 B19:K19 B21:K21 B23:K23 B25:K25 B27:K27 B29:K29">
    <cfRule type="expression" dxfId="82" priority="2">
      <formula>COLUMN(B13)&gt;=2</formula>
    </cfRule>
  </conditionalFormatting>
  <conditionalFormatting sqref="C3:H3">
    <cfRule type="expression" dxfId="81" priority="6" stopIfTrue="1">
      <formula>DAY(C3)&gt;8</formula>
    </cfRule>
  </conditionalFormatting>
  <conditionalFormatting sqref="C3:K8">
    <cfRule type="expression" dxfId="80" priority="7">
      <formula>VLOOKUP(DAY(C3),作業日期,1,FALSE)=DAY(C3)</formula>
    </cfRule>
  </conditionalFormatting>
  <conditionalFormatting sqref="C7:K8">
    <cfRule type="expression" dxfId="79" priority="5" stopIfTrue="1">
      <formula>AND(DAY(C7)&gt;=1,DAY(C7)&lt;=15)</formula>
    </cfRule>
  </conditionalFormatting>
  <dataValidations xWindow="239" yWindow="583" count="13">
    <dataValidation allowBlank="1" showInputMessage="1" showErrorMessage="1" prompt="在此列的欄 B 到欄 I 中輸入課程" sqref="B13" xr:uid="{00000000-0002-0000-0600-000000000000}"/>
    <dataValidation allowBlank="1" showInputMessage="1" showErrorMessage="1" prompt="在此列的欄 B 到欄 I 中輸入時間" sqref="B12" xr:uid="{00000000-0002-0000-0600-000001000000}"/>
    <dataValidation allowBlank="1" showInputMessage="1" showErrorMessage="1" prompt="如果此列中的數字小於前面的數字或前一列的數字，則此列會包含下個行事曆月份的日期" sqref="C8" xr:uid="{00000000-0002-0000-0600-000002000000}"/>
    <dataValidation allowBlank="1" showInputMessage="1" showErrorMessage="1" prompt="如果此儲存格中沒有數字 1，就表示它是上個月的日期。儲存格 C3:I8 包含當月的日期" sqref="C3" xr:uid="{00000000-0002-0000-0600-000003000000}"/>
    <dataValidation allowBlank="1" showInputMessage="1" showErrorMessage="1" prompt="儲存格 C2:I2 包含工作日" sqref="C2:D2" xr:uid="{92D175BD-3FEE-47D1-B828-76899E525F84}"/>
    <dataValidation allowBlank="1" showInputMessage="1" showErrorMessage="1" prompt="在此工作表中排定每週課表與建立作業清單。在 [1 月] 工作表的儲存格 B1 中輸入之年份的每月行事曆中，會自動醒目提示相關作業" sqref="A1" xr:uid="{00000000-0002-0000-0600-000005000000}"/>
    <dataValidation allowBlank="1" showInputMessage="1" showErrorMessage="1" prompt="行事曆年份會自動更新。若要變更年份，請更新 [1 月] 工作表中的儲存格 B1" sqref="B1" xr:uid="{00000000-0002-0000-0600-000006000000}"/>
    <dataValidation allowBlank="1" showInputMessage="1" showErrorMessage="1" prompt="7 月行事曆會自動醒目提示當月的作業清單項目。較深色的字型表示該日期有作業。較淺色的字型表示屬於上個月或下個月的日期" sqref="B2" xr:uid="{00000000-0002-0000-0600-000007000000}"/>
    <dataValidation allowBlank="1" showInputMessage="1" showErrorMessage="1" prompt="此欄依星期幾分組，每組包含 6 個列，用於記錄當月依每個星期幾分組的作業。插入新列即可新增更多作業。左側的行事曆會醒目提示相關項目" sqref="L1" xr:uid="{00000000-0002-0000-0600-000008000000}"/>
    <dataValidation allowBlank="1" showInputMessage="1" showErrorMessage="1" prompt="在此欄中輸入與左側行事曆月份欄 J 中的星期幾以及欄 K 中的日期相對應的作業詳細資料" sqref="N1:O1" xr:uid="{00000000-0002-0000-0600-000009000000}"/>
    <dataValidation allowBlank="1" showInputMessage="1" showErrorMessage="1" prompt="在此欄中輸入與欄 J 中的星期幾相對應的當月作業日期。左側行事曆中的這個日期會醒目提示相關作業" sqref="M1" xr:uid="{00000000-0002-0000-0600-00000A000000}"/>
    <dataValidation allowBlank="1" showInputMessage="1" showErrorMessage="1" prompt="此列為星期幾，包括星期一到星期五" sqref="B11" xr:uid="{00000000-0002-0000-0600-00000B000000}"/>
    <dataValidation allowBlank="1" showInputMessage="1" showErrorMessage="1" prompt="輸入課程的時間，並在底下新列中的欄 B 到欄 I 的每個星期幾中輸入課程名稱。在後續各列中，針對所有課程重複此輸入方式" sqref="B10" xr:uid="{00000000-0002-0000-0600-00000C000000}"/>
  </dataValidations>
  <printOptions horizontalCentered="1" verticalCentered="1"/>
  <pageMargins left="0.5" right="0.5" top="0.5" bottom="0.5" header="0.3" footer="0.3"/>
  <pageSetup paperSize="9" scale="56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  <pageSetUpPr fitToPage="1"/>
  </sheetPr>
  <dimension ref="A1:O43"/>
  <sheetViews>
    <sheetView showGridLines="0" topLeftCell="C4" zoomScaleNormal="100" zoomScalePageLayoutView="84" workbookViewId="0">
      <selection activeCell="I11" sqref="I11"/>
    </sheetView>
  </sheetViews>
  <sheetFormatPr defaultColWidth="8.796875" defaultRowHeight="30" customHeight="1"/>
  <cols>
    <col min="1" max="1" width="2.796875" style="4" customWidth="1"/>
    <col min="2" max="2" width="20.796875" style="1" customWidth="1"/>
    <col min="3" max="8" width="10.796875" style="4" customWidth="1"/>
    <col min="9" max="11" width="20.796875" style="4" customWidth="1"/>
    <col min="12" max="12" width="10.796875" style="1" customWidth="1"/>
    <col min="13" max="13" width="10.796875" style="4" customWidth="1"/>
    <col min="14" max="14" width="70.796875" style="4" customWidth="1"/>
    <col min="15" max="15" width="79.3984375" style="57" customWidth="1"/>
    <col min="16" max="16" width="2.796875" style="4" customWidth="1"/>
    <col min="17" max="16384" width="8.796875" style="4"/>
  </cols>
  <sheetData>
    <row r="1" spans="1:15" ht="30" customHeight="1">
      <c r="A1" s="1"/>
      <c r="B1" s="29">
        <f>_xlfn.SINGLE(行事曆年份)</f>
        <v>2026</v>
      </c>
      <c r="L1" s="5" t="s">
        <v>23</v>
      </c>
      <c r="M1" s="5" t="s">
        <v>24</v>
      </c>
      <c r="N1" s="61" t="s">
        <v>41</v>
      </c>
      <c r="O1" s="60" t="s">
        <v>45</v>
      </c>
    </row>
    <row r="2" spans="1:15" ht="30" customHeight="1">
      <c r="A2" s="7"/>
      <c r="B2" s="30" t="s">
        <v>36</v>
      </c>
      <c r="C2" s="9" t="s">
        <v>13</v>
      </c>
      <c r="D2" s="9" t="s">
        <v>5</v>
      </c>
      <c r="E2" s="9" t="s">
        <v>14</v>
      </c>
      <c r="F2" s="9" t="s">
        <v>19</v>
      </c>
      <c r="G2" s="9" t="s">
        <v>20</v>
      </c>
      <c r="H2" s="9" t="s">
        <v>21</v>
      </c>
      <c r="I2" s="9" t="s">
        <v>22</v>
      </c>
      <c r="J2" s="9"/>
      <c r="K2" s="9"/>
      <c r="L2" s="10" t="s">
        <v>5</v>
      </c>
      <c r="M2" s="41"/>
    </row>
    <row r="3" spans="1:15" ht="30" customHeight="1">
      <c r="A3" s="7"/>
      <c r="C3" s="47">
        <f>IF(DAY(AugSun1)=1,AugSun1-6,AugSun1+1)</f>
        <v>46229</v>
      </c>
      <c r="D3" s="47">
        <f>IF(DAY(AugSun1)=1,AugSun1-5,AugSun1+2)</f>
        <v>46230</v>
      </c>
      <c r="E3" s="47">
        <f>IF(DAY(AugSun1)=1,AugSun1-4,AugSun1+3)</f>
        <v>46231</v>
      </c>
      <c r="F3" s="47">
        <f>IF(DAY(AugSun1)=1,AugSun1-3,AugSun1+4)</f>
        <v>46232</v>
      </c>
      <c r="G3" s="47">
        <f>IF(DAY(AugSun1)=1,AugSun1-2,AugSun1+5)</f>
        <v>46233</v>
      </c>
      <c r="H3" s="47">
        <f>IF(DAY(AugSun1)=1,AugSun1-1,AugSun1+6)</f>
        <v>46234</v>
      </c>
      <c r="I3" s="47">
        <f>IF(DAY(AugSun1)=1,AugSun1,AugSun1+7)</f>
        <v>46235</v>
      </c>
      <c r="J3" s="47"/>
      <c r="K3" s="47"/>
      <c r="L3" s="10"/>
    </row>
    <row r="4" spans="1:15" ht="30" customHeight="1">
      <c r="A4" s="7"/>
      <c r="C4" s="47">
        <f>IF(DAY(AugSun1)=1,AugSun1+1,AugSun1+8)</f>
        <v>46236</v>
      </c>
      <c r="D4" s="47">
        <f>IF(DAY(AugSun1)=1,AugSun1+2,AugSun1+9)</f>
        <v>46237</v>
      </c>
      <c r="E4" s="47">
        <f>IF(DAY(AugSun1)=1,AugSun1+3,AugSun1+10)</f>
        <v>46238</v>
      </c>
      <c r="F4" s="47">
        <f>IF(DAY(AugSun1)=1,AugSun1+4,AugSun1+11)</f>
        <v>46239</v>
      </c>
      <c r="G4" s="47">
        <f>IF(DAY(AugSun1)=1,AugSun1+5,AugSun1+12)</f>
        <v>46240</v>
      </c>
      <c r="H4" s="47">
        <f>IF(DAY(AugSun1)=1,AugSun1+6,AugSun1+13)</f>
        <v>46241</v>
      </c>
      <c r="I4" s="47">
        <f>IF(DAY(AugSun1)=1,AugSun1+7,AugSun1+14)</f>
        <v>46242</v>
      </c>
      <c r="J4" s="47"/>
      <c r="K4" s="47"/>
      <c r="L4" s="10"/>
    </row>
    <row r="5" spans="1:15" ht="30" customHeight="1">
      <c r="A5" s="7"/>
      <c r="C5" s="47">
        <f>IF(DAY(AugSun1)=1,AugSun1+8,AugSun1+15)</f>
        <v>46243</v>
      </c>
      <c r="D5" s="47">
        <f>IF(DAY(AugSun1)=1,AugSun1+9,AugSun1+16)</f>
        <v>46244</v>
      </c>
      <c r="E5" s="47">
        <f>IF(DAY(AugSun1)=1,AugSun1+10,AugSun1+17)</f>
        <v>46245</v>
      </c>
      <c r="F5" s="47">
        <f>IF(DAY(AugSun1)=1,AugSun1+11,AugSun1+18)</f>
        <v>46246</v>
      </c>
      <c r="G5" s="47">
        <f>IF(DAY(AugSun1)=1,AugSun1+12,AugSun1+19)</f>
        <v>46247</v>
      </c>
      <c r="H5" s="47">
        <f>IF(DAY(AugSun1)=1,AugSun1+13,AugSun1+20)</f>
        <v>46248</v>
      </c>
      <c r="I5" s="47">
        <f>IF(DAY(AugSun1)=1,AugSun1+14,AugSun1+21)</f>
        <v>46249</v>
      </c>
      <c r="J5" s="47"/>
      <c r="K5" s="47"/>
      <c r="L5" s="10"/>
    </row>
    <row r="6" spans="1:15" ht="30" customHeight="1">
      <c r="A6" s="7"/>
      <c r="C6" s="47">
        <f>IF(DAY(AugSun1)=1,AugSun1+15,AugSun1+22)</f>
        <v>46250</v>
      </c>
      <c r="D6" s="47">
        <f>IF(DAY(AugSun1)=1,AugSun1+16,AugSun1+23)</f>
        <v>46251</v>
      </c>
      <c r="E6" s="47">
        <f>IF(DAY(AugSun1)=1,AugSun1+17,AugSun1+24)</f>
        <v>46252</v>
      </c>
      <c r="F6" s="47">
        <f>IF(DAY(AugSun1)=1,AugSun1+18,AugSun1+25)</f>
        <v>46253</v>
      </c>
      <c r="G6" s="47">
        <f>IF(DAY(AugSun1)=1,AugSun1+19,AugSun1+26)</f>
        <v>46254</v>
      </c>
      <c r="H6" s="47">
        <f>IF(DAY(AugSun1)=1,AugSun1+20,AugSun1+27)</f>
        <v>46255</v>
      </c>
      <c r="I6" s="47">
        <f>IF(DAY(AugSun1)=1,AugSun1+21,AugSun1+28)</f>
        <v>46256</v>
      </c>
      <c r="J6" s="47"/>
      <c r="K6" s="47"/>
      <c r="L6" s="10"/>
    </row>
    <row r="7" spans="1:15" ht="30" customHeight="1">
      <c r="A7" s="7"/>
      <c r="C7" s="47">
        <f>IF(DAY(AugSun1)=1,AugSun1+22,AugSun1+29)</f>
        <v>46257</v>
      </c>
      <c r="D7" s="47">
        <f>IF(DAY(AugSun1)=1,AugSun1+23,AugSun1+30)</f>
        <v>46258</v>
      </c>
      <c r="E7" s="47">
        <f>IF(DAY(AugSun1)=1,AugSun1+24,AugSun1+31)</f>
        <v>46259</v>
      </c>
      <c r="F7" s="47">
        <f>IF(DAY(AugSun1)=1,AugSun1+25,AugSun1+32)</f>
        <v>46260</v>
      </c>
      <c r="G7" s="47">
        <f>IF(DAY(AugSun1)=1,AugSun1+26,AugSun1+33)</f>
        <v>46261</v>
      </c>
      <c r="H7" s="47">
        <f>IF(DAY(AugSun1)=1,AugSun1+27,AugSun1+34)</f>
        <v>46262</v>
      </c>
      <c r="I7" s="47">
        <f>IF(DAY(AugSun1)=1,AugSun1+28,AugSun1+35)</f>
        <v>46263</v>
      </c>
      <c r="J7" s="47"/>
      <c r="K7" s="47"/>
      <c r="L7" s="13"/>
      <c r="M7" s="37"/>
      <c r="N7" s="26"/>
    </row>
    <row r="8" spans="1:15" ht="30" customHeight="1">
      <c r="A8" s="7"/>
      <c r="B8" s="15"/>
      <c r="C8" s="47">
        <f>IF(DAY(AugSun1)=1,AugSun1+29,AugSun1+36)</f>
        <v>46264</v>
      </c>
      <c r="D8" s="47">
        <f>IF(DAY(AugSun1)=1,AugSun1+30,AugSun1+37)</f>
        <v>46265</v>
      </c>
      <c r="E8" s="47">
        <f>IF(DAY(AugSun1)=1,AugSun1+31,AugSun1+38)</f>
        <v>46266</v>
      </c>
      <c r="F8" s="47">
        <f>IF(DAY(AugSun1)=1,AugSun1+32,AugSun1+39)</f>
        <v>46267</v>
      </c>
      <c r="G8" s="47">
        <f>IF(DAY(AugSun1)=1,AugSun1+33,AugSun1+40)</f>
        <v>46268</v>
      </c>
      <c r="H8" s="47">
        <f>IF(DAY(AugSun1)=1,AugSun1+34,AugSun1+41)</f>
        <v>46269</v>
      </c>
      <c r="I8" s="47">
        <f>IF(DAY(AugSun1)=1,AugSun1+35,AugSun1+42)</f>
        <v>46270</v>
      </c>
      <c r="J8" s="47"/>
      <c r="K8" s="47"/>
      <c r="L8" s="10" t="s">
        <v>14</v>
      </c>
      <c r="M8" s="41"/>
    </row>
    <row r="9" spans="1:15" ht="30" customHeight="1">
      <c r="A9" s="7"/>
      <c r="C9" s="31"/>
      <c r="D9" s="31"/>
      <c r="E9" s="31"/>
      <c r="F9" s="31"/>
      <c r="G9" s="31"/>
      <c r="H9" s="31"/>
      <c r="I9" s="31"/>
      <c r="J9" s="31"/>
      <c r="K9" s="31"/>
      <c r="L9" s="10"/>
    </row>
    <row r="10" spans="1:15" ht="30" customHeight="1">
      <c r="A10" s="7"/>
      <c r="B10" s="16" t="s">
        <v>42</v>
      </c>
      <c r="C10" s="17"/>
      <c r="D10" s="17"/>
      <c r="E10" s="17"/>
      <c r="F10" s="17"/>
      <c r="G10" s="17"/>
      <c r="H10" s="17"/>
      <c r="I10" s="17"/>
      <c r="J10" s="17"/>
      <c r="K10" s="17"/>
      <c r="L10" s="10"/>
    </row>
    <row r="11" spans="1:15" ht="30" customHeight="1">
      <c r="A11" s="18" t="s">
        <v>23</v>
      </c>
      <c r="B11" s="19" t="s">
        <v>5</v>
      </c>
      <c r="C11" s="76" t="s">
        <v>14</v>
      </c>
      <c r="D11" s="77"/>
      <c r="E11" s="76" t="s">
        <v>19</v>
      </c>
      <c r="F11" s="77"/>
      <c r="G11" s="76" t="s">
        <v>20</v>
      </c>
      <c r="H11" s="77"/>
      <c r="I11" s="73" t="s">
        <v>21</v>
      </c>
      <c r="J11" s="74" t="s">
        <v>47</v>
      </c>
      <c r="K11" s="20" t="s">
        <v>48</v>
      </c>
      <c r="L11" s="10"/>
    </row>
    <row r="12" spans="1:15" ht="30" customHeight="1">
      <c r="A12" s="18" t="s">
        <v>1</v>
      </c>
      <c r="B12" s="21"/>
      <c r="C12" s="78"/>
      <c r="D12" s="78"/>
      <c r="E12" s="78"/>
      <c r="F12" s="78"/>
      <c r="G12" s="78"/>
      <c r="H12" s="78"/>
      <c r="I12" s="32"/>
      <c r="J12" s="65"/>
      <c r="K12" s="65"/>
      <c r="L12" s="10"/>
    </row>
    <row r="13" spans="1:15" ht="30" customHeight="1">
      <c r="A13" s="18" t="s">
        <v>2</v>
      </c>
      <c r="B13" s="23"/>
      <c r="C13" s="79"/>
      <c r="D13" s="79"/>
      <c r="E13" s="79"/>
      <c r="F13" s="79"/>
      <c r="G13" s="79"/>
      <c r="H13" s="79"/>
      <c r="I13" s="23"/>
      <c r="J13" s="49"/>
      <c r="K13" s="49"/>
      <c r="L13" s="13"/>
      <c r="M13" s="37"/>
      <c r="N13" s="26"/>
    </row>
    <row r="14" spans="1:15" ht="30" customHeight="1">
      <c r="A14" s="18" t="s">
        <v>1</v>
      </c>
      <c r="B14" s="21"/>
      <c r="C14" s="78"/>
      <c r="D14" s="78"/>
      <c r="E14" s="78"/>
      <c r="F14" s="78"/>
      <c r="G14" s="78"/>
      <c r="H14" s="78"/>
      <c r="I14" s="32"/>
      <c r="J14" s="65"/>
      <c r="K14" s="65"/>
      <c r="L14" s="10" t="s">
        <v>19</v>
      </c>
      <c r="M14" s="41"/>
    </row>
    <row r="15" spans="1:15" ht="30" customHeight="1">
      <c r="A15" s="18" t="s">
        <v>2</v>
      </c>
      <c r="B15" s="23"/>
      <c r="C15" s="79"/>
      <c r="D15" s="79"/>
      <c r="E15" s="79"/>
      <c r="F15" s="79"/>
      <c r="G15" s="79"/>
      <c r="H15" s="79"/>
      <c r="I15" s="23"/>
      <c r="J15" s="49"/>
      <c r="K15" s="49"/>
      <c r="L15" s="10"/>
    </row>
    <row r="16" spans="1:15" ht="30" customHeight="1">
      <c r="A16" s="18" t="s">
        <v>1</v>
      </c>
      <c r="B16" s="21"/>
      <c r="C16" s="78"/>
      <c r="D16" s="78"/>
      <c r="E16" s="78"/>
      <c r="F16" s="78"/>
      <c r="G16" s="78"/>
      <c r="H16" s="78"/>
      <c r="I16" s="33"/>
      <c r="J16" s="65"/>
      <c r="K16" s="65"/>
      <c r="L16" s="10"/>
    </row>
    <row r="17" spans="1:14" ht="30" customHeight="1">
      <c r="A17" s="18" t="s">
        <v>2</v>
      </c>
      <c r="B17" s="23"/>
      <c r="C17" s="79"/>
      <c r="D17" s="79"/>
      <c r="E17" s="79"/>
      <c r="F17" s="79"/>
      <c r="G17" s="79"/>
      <c r="H17" s="79"/>
      <c r="I17" s="23"/>
      <c r="J17" s="49"/>
      <c r="K17" s="49"/>
      <c r="L17" s="10"/>
    </row>
    <row r="18" spans="1:14" ht="30" customHeight="1">
      <c r="A18" s="18" t="s">
        <v>1</v>
      </c>
      <c r="B18" s="21"/>
      <c r="C18" s="78"/>
      <c r="D18" s="78"/>
      <c r="E18" s="78"/>
      <c r="F18" s="78"/>
      <c r="G18" s="78"/>
      <c r="H18" s="78"/>
      <c r="I18" s="32"/>
      <c r="J18" s="65"/>
      <c r="K18" s="65"/>
      <c r="L18" s="10"/>
    </row>
    <row r="19" spans="1:14" ht="30" customHeight="1">
      <c r="A19" s="18" t="s">
        <v>2</v>
      </c>
      <c r="B19" s="23"/>
      <c r="C19" s="79"/>
      <c r="D19" s="79"/>
      <c r="E19" s="79"/>
      <c r="F19" s="79"/>
      <c r="G19" s="79"/>
      <c r="H19" s="79"/>
      <c r="I19" s="34"/>
      <c r="J19" s="34"/>
      <c r="K19" s="34"/>
      <c r="L19" s="13"/>
      <c r="M19" s="37"/>
      <c r="N19" s="38"/>
    </row>
    <row r="20" spans="1:14" ht="30" customHeight="1">
      <c r="A20" s="18" t="s">
        <v>1</v>
      </c>
      <c r="B20" s="21"/>
      <c r="C20" s="78"/>
      <c r="D20" s="78"/>
      <c r="E20" s="78"/>
      <c r="F20" s="78"/>
      <c r="G20" s="78"/>
      <c r="H20" s="78"/>
      <c r="I20" s="32"/>
      <c r="J20" s="65"/>
      <c r="K20" s="65"/>
      <c r="L20" s="10" t="s">
        <v>20</v>
      </c>
      <c r="M20" s="41"/>
    </row>
    <row r="21" spans="1:14" ht="30" customHeight="1">
      <c r="A21" s="18" t="s">
        <v>2</v>
      </c>
      <c r="B21" s="23"/>
      <c r="C21" s="79"/>
      <c r="D21" s="79"/>
      <c r="E21" s="79"/>
      <c r="F21" s="79"/>
      <c r="G21" s="79"/>
      <c r="H21" s="79"/>
      <c r="I21" s="23"/>
      <c r="J21" s="49"/>
      <c r="K21" s="49"/>
      <c r="L21" s="10"/>
    </row>
    <row r="22" spans="1:14" ht="30" customHeight="1">
      <c r="A22" s="18" t="s">
        <v>1</v>
      </c>
      <c r="B22" s="21"/>
      <c r="C22" s="78"/>
      <c r="D22" s="78"/>
      <c r="E22" s="78"/>
      <c r="F22" s="78"/>
      <c r="G22" s="78"/>
      <c r="H22" s="78"/>
      <c r="I22" s="32"/>
      <c r="J22" s="65"/>
      <c r="K22" s="65"/>
      <c r="L22" s="10"/>
    </row>
    <row r="23" spans="1:14" ht="30" customHeight="1">
      <c r="A23" s="18" t="s">
        <v>35</v>
      </c>
      <c r="B23" s="23"/>
      <c r="C23" s="79"/>
      <c r="D23" s="79"/>
      <c r="E23" s="79"/>
      <c r="F23" s="79"/>
      <c r="G23" s="79"/>
      <c r="H23" s="79"/>
      <c r="I23" s="23"/>
      <c r="J23" s="49"/>
      <c r="K23" s="49"/>
      <c r="L23" s="10"/>
    </row>
    <row r="24" spans="1:14" ht="30" customHeight="1">
      <c r="A24" s="18" t="s">
        <v>1</v>
      </c>
      <c r="B24" s="21"/>
      <c r="C24" s="78"/>
      <c r="D24" s="78"/>
      <c r="E24" s="78"/>
      <c r="F24" s="78"/>
      <c r="G24" s="78"/>
      <c r="H24" s="78"/>
      <c r="I24" s="32"/>
      <c r="J24" s="65"/>
      <c r="K24" s="65"/>
      <c r="L24" s="10"/>
    </row>
    <row r="25" spans="1:14" ht="30" customHeight="1">
      <c r="A25" s="18" t="s">
        <v>2</v>
      </c>
      <c r="B25" s="23"/>
      <c r="C25" s="79"/>
      <c r="D25" s="79"/>
      <c r="E25" s="79"/>
      <c r="F25" s="79"/>
      <c r="G25" s="79"/>
      <c r="H25" s="79"/>
      <c r="I25" s="23"/>
      <c r="J25" s="49"/>
      <c r="K25" s="49"/>
      <c r="L25" s="13"/>
      <c r="M25" s="37"/>
      <c r="N25" s="38"/>
    </row>
    <row r="26" spans="1:14" ht="30" customHeight="1">
      <c r="A26" s="18" t="s">
        <v>1</v>
      </c>
      <c r="B26" s="21"/>
      <c r="C26" s="78"/>
      <c r="D26" s="78"/>
      <c r="E26" s="78"/>
      <c r="F26" s="78"/>
      <c r="G26" s="78"/>
      <c r="H26" s="78"/>
      <c r="I26" s="32"/>
      <c r="J26" s="65"/>
      <c r="K26" s="65"/>
      <c r="L26" s="10" t="s">
        <v>21</v>
      </c>
      <c r="M26" s="41"/>
    </row>
    <row r="27" spans="1:14" ht="30" customHeight="1">
      <c r="A27" s="18" t="s">
        <v>2</v>
      </c>
      <c r="B27" s="23"/>
      <c r="C27" s="79"/>
      <c r="D27" s="79"/>
      <c r="E27" s="79"/>
      <c r="F27" s="79"/>
      <c r="G27" s="79"/>
      <c r="H27" s="79"/>
      <c r="I27" s="23"/>
      <c r="J27" s="49"/>
      <c r="K27" s="49"/>
      <c r="L27" s="10"/>
    </row>
    <row r="28" spans="1:14" ht="30" customHeight="1">
      <c r="A28" s="18" t="s">
        <v>1</v>
      </c>
      <c r="B28" s="21"/>
      <c r="C28" s="78"/>
      <c r="D28" s="78"/>
      <c r="E28" s="78"/>
      <c r="F28" s="78"/>
      <c r="G28" s="78"/>
      <c r="H28" s="78"/>
      <c r="I28" s="32"/>
      <c r="J28" s="65"/>
      <c r="K28" s="65"/>
      <c r="L28" s="10"/>
    </row>
    <row r="29" spans="1:14" ht="30" customHeight="1">
      <c r="A29" s="18" t="s">
        <v>2</v>
      </c>
      <c r="B29" s="23"/>
      <c r="C29" s="79"/>
      <c r="D29" s="79"/>
      <c r="E29" s="79"/>
      <c r="F29" s="79"/>
      <c r="G29" s="79"/>
      <c r="H29" s="79"/>
      <c r="I29" s="23"/>
      <c r="J29" s="49"/>
      <c r="K29" s="49"/>
      <c r="L29" s="10"/>
    </row>
    <row r="30" spans="1:14" ht="30" customHeight="1">
      <c r="A30" s="18" t="s">
        <v>1</v>
      </c>
      <c r="B30" s="21"/>
      <c r="C30" s="78"/>
      <c r="D30" s="78"/>
      <c r="E30" s="78"/>
      <c r="F30" s="78"/>
      <c r="G30" s="78"/>
      <c r="H30" s="78"/>
      <c r="I30" s="32"/>
      <c r="J30" s="65"/>
      <c r="K30" s="65"/>
      <c r="L30" s="10"/>
    </row>
    <row r="31" spans="1:14" ht="30" customHeight="1">
      <c r="A31" s="18" t="s">
        <v>2</v>
      </c>
      <c r="B31" s="39"/>
      <c r="C31" s="81"/>
      <c r="D31" s="81"/>
      <c r="E31" s="81"/>
      <c r="F31" s="81"/>
      <c r="G31" s="81"/>
      <c r="H31" s="81"/>
      <c r="I31" s="39"/>
      <c r="J31" s="51"/>
      <c r="K31" s="51"/>
      <c r="L31" s="10"/>
      <c r="M31" s="70"/>
      <c r="N31" s="40"/>
    </row>
    <row r="32" spans="1:14" ht="30" customHeight="1">
      <c r="L32" s="66" t="s">
        <v>47</v>
      </c>
      <c r="M32" s="71"/>
      <c r="N32" s="56"/>
    </row>
    <row r="33" spans="12:14" ht="30" customHeight="1">
      <c r="L33" s="10"/>
    </row>
    <row r="34" spans="12:14" ht="30" customHeight="1">
      <c r="L34" s="10"/>
    </row>
    <row r="35" spans="12:14" ht="30" customHeight="1">
      <c r="L35" s="10"/>
    </row>
    <row r="36" spans="12:14" ht="30" customHeight="1">
      <c r="L36" s="10"/>
    </row>
    <row r="37" spans="12:14" ht="30" customHeight="1">
      <c r="L37" s="62"/>
      <c r="M37" s="70"/>
      <c r="N37" s="69"/>
    </row>
    <row r="38" spans="12:14" ht="30" customHeight="1">
      <c r="L38" s="66" t="s">
        <v>48</v>
      </c>
      <c r="M38" s="71"/>
      <c r="N38" s="56"/>
    </row>
    <row r="39" spans="12:14" ht="30" customHeight="1">
      <c r="L39" s="10"/>
    </row>
    <row r="40" spans="12:14" ht="30" customHeight="1">
      <c r="L40" s="10"/>
    </row>
    <row r="41" spans="12:14" ht="30" customHeight="1">
      <c r="L41" s="10"/>
    </row>
    <row r="42" spans="12:14" ht="30" customHeight="1">
      <c r="L42" s="10"/>
    </row>
    <row r="43" spans="12:14" ht="30" customHeight="1">
      <c r="L43" s="62"/>
      <c r="M43" s="70"/>
      <c r="N43" s="69"/>
    </row>
  </sheetData>
  <mergeCells count="63">
    <mergeCell ref="C31:D31"/>
    <mergeCell ref="E31:F31"/>
    <mergeCell ref="G31:H31"/>
    <mergeCell ref="C29:D29"/>
    <mergeCell ref="E29:F29"/>
    <mergeCell ref="G29:H29"/>
    <mergeCell ref="C30:D30"/>
    <mergeCell ref="E30:F30"/>
    <mergeCell ref="G30:H30"/>
    <mergeCell ref="C27:D27"/>
    <mergeCell ref="E27:F27"/>
    <mergeCell ref="G27:H27"/>
    <mergeCell ref="C28:D28"/>
    <mergeCell ref="E28:F28"/>
    <mergeCell ref="G28:H28"/>
    <mergeCell ref="C25:D25"/>
    <mergeCell ref="E25:F25"/>
    <mergeCell ref="G25:H25"/>
    <mergeCell ref="C26:D26"/>
    <mergeCell ref="E26:F26"/>
    <mergeCell ref="G26:H26"/>
    <mergeCell ref="C23:D23"/>
    <mergeCell ref="E23:F23"/>
    <mergeCell ref="G23:H23"/>
    <mergeCell ref="C24:D24"/>
    <mergeCell ref="E24:F24"/>
    <mergeCell ref="G24:H24"/>
    <mergeCell ref="C21:D21"/>
    <mergeCell ref="E21:F21"/>
    <mergeCell ref="G21:H21"/>
    <mergeCell ref="C22:D22"/>
    <mergeCell ref="E22:F22"/>
    <mergeCell ref="G22:H22"/>
    <mergeCell ref="C19:D19"/>
    <mergeCell ref="E19:F19"/>
    <mergeCell ref="G19:H19"/>
    <mergeCell ref="C20:D20"/>
    <mergeCell ref="E20:F20"/>
    <mergeCell ref="G20:H20"/>
    <mergeCell ref="C17:D17"/>
    <mergeCell ref="E17:F17"/>
    <mergeCell ref="G17:H17"/>
    <mergeCell ref="C18:D18"/>
    <mergeCell ref="E18:F18"/>
    <mergeCell ref="G18:H18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C11:D11"/>
    <mergeCell ref="E11:F11"/>
    <mergeCell ref="G11:H11"/>
    <mergeCell ref="C12:D12"/>
    <mergeCell ref="E12:F12"/>
    <mergeCell ref="G12:H12"/>
  </mergeCells>
  <phoneticPr fontId="31" type="noConversion"/>
  <conditionalFormatting sqref="B12:K12 B14:K14 B16:K16 B18:K18 B20:K20 B22:K22 B24:K24 B26:K26 B28:K28 B30:K30">
    <cfRule type="expression" dxfId="78" priority="4">
      <formula>B12&lt;&gt;""</formula>
    </cfRule>
  </conditionalFormatting>
  <conditionalFormatting sqref="B12:K31">
    <cfRule type="expression" dxfId="77" priority="1">
      <formula>COLUMN(B12)&gt;2</formula>
    </cfRule>
  </conditionalFormatting>
  <conditionalFormatting sqref="B13:K13 B15:K15 B17:K17 B19:K19 B21:K21 B23:K23 B25:K25 B27:K27 B29:K29 B31:K31">
    <cfRule type="expression" dxfId="76" priority="3">
      <formula>B12&lt;&gt;""</formula>
    </cfRule>
  </conditionalFormatting>
  <conditionalFormatting sqref="B13:K13 B15:K15 B17:K17 B19:K19 B21:K21 B23:K23 B25:K25 B27:K27 B29:K29">
    <cfRule type="expression" dxfId="75" priority="2">
      <formula>COLUMN(B13)&gt;=2</formula>
    </cfRule>
  </conditionalFormatting>
  <conditionalFormatting sqref="C3:H3">
    <cfRule type="expression" dxfId="74" priority="6" stopIfTrue="1">
      <formula>DAY(C3)&gt;8</formula>
    </cfRule>
  </conditionalFormatting>
  <conditionalFormatting sqref="C3:K8">
    <cfRule type="expression" dxfId="73" priority="7">
      <formula>VLOOKUP(DAY(C3),作業日期,1,FALSE)=DAY(C3)</formula>
    </cfRule>
  </conditionalFormatting>
  <conditionalFormatting sqref="C7:K8">
    <cfRule type="expression" dxfId="72" priority="5" stopIfTrue="1">
      <formula>AND(DAY(C7)&gt;=1,DAY(C7)&lt;=15)</formula>
    </cfRule>
  </conditionalFormatting>
  <dataValidations xWindow="132" yWindow="585" count="13">
    <dataValidation allowBlank="1" showInputMessage="1" showErrorMessage="1" prompt="8 月行事曆會自動醒目提示當月的作業清單項目。較深色的字型表示該日期有作業。較淺色的字型表示屬於上個月或下個月的日期" sqref="B2" xr:uid="{00000000-0002-0000-0700-000000000000}"/>
    <dataValidation allowBlank="1" showInputMessage="1" showErrorMessage="1" prompt="行事曆年份會自動更新。若要變更年份，請更新 [1 月] 工作表中的儲存格 B1" sqref="B1" xr:uid="{00000000-0002-0000-0700-000001000000}"/>
    <dataValidation allowBlank="1" showInputMessage="1" showErrorMessage="1" prompt="在此工作表中排定每週課表與建立作業清單。在 [1 月] 工作表的儲存格 B1 中輸入之年份的每月行事曆中，會自動醒目提示相關作業" sqref="A1" xr:uid="{00000000-0002-0000-0700-000002000000}"/>
    <dataValidation allowBlank="1" showInputMessage="1" showErrorMessage="1" prompt="儲存格 C2:I2 包含工作日" sqref="C2:D2" xr:uid="{0052688F-8AB9-40C8-870C-99302180FE73}"/>
    <dataValidation allowBlank="1" showInputMessage="1" showErrorMessage="1" prompt="如果此儲存格中沒有數字 1，就表示它是上個月的日期。儲存格 C3:I8 包含當月的日期" sqref="C3" xr:uid="{00000000-0002-0000-0700-000004000000}"/>
    <dataValidation allowBlank="1" showInputMessage="1" showErrorMessage="1" prompt="如果此列中的數字小於前面的數字或前一列的數字，則此列會包含下個行事曆月份的日期" sqref="C8" xr:uid="{00000000-0002-0000-0700-000005000000}"/>
    <dataValidation allowBlank="1" showInputMessage="1" showErrorMessage="1" prompt="在此列的欄 B 到欄 I 中輸入時間" sqref="B12" xr:uid="{00000000-0002-0000-0700-000006000000}"/>
    <dataValidation allowBlank="1" showInputMessage="1" showErrorMessage="1" prompt="在此列的欄 B 到欄 I 中輸入課程" sqref="B13" xr:uid="{00000000-0002-0000-0700-000007000000}"/>
    <dataValidation allowBlank="1" showInputMessage="1" showErrorMessage="1" prompt="此欄依星期幾分組，每組包含 6 個列，用於記錄當月依每個星期幾分組的作業。插入新列即可新增更多作業。左側的行事曆會醒目提示相關項目" sqref="L1" xr:uid="{00000000-0002-0000-0700-000008000000}"/>
    <dataValidation allowBlank="1" showInputMessage="1" showErrorMessage="1" prompt="在此欄中輸入與左側行事曆月份欄 J 中的星期幾以及欄 K 中的日期相對應的作業詳細資料" sqref="N1:O1" xr:uid="{00000000-0002-0000-0700-000009000000}"/>
    <dataValidation allowBlank="1" showInputMessage="1" showErrorMessage="1" prompt="在此欄中輸入與欄 J 中的星期幾相對應的當月作業日期。左側行事曆中的這個日期會醒目提示相關作業" sqref="M1" xr:uid="{00000000-0002-0000-0700-00000A000000}"/>
    <dataValidation allowBlank="1" showInputMessage="1" showErrorMessage="1" prompt="此列為星期幾，包括星期一到星期五" sqref="B11" xr:uid="{00000000-0002-0000-0700-00000B000000}"/>
    <dataValidation allowBlank="1" showInputMessage="1" showErrorMessage="1" prompt="輸入課程的時間，並在底下新列中的欄 B 到欄 I 的每個星期幾中輸入課程名稱。在後續各列中，針對所有課程重複此輸入方式" sqref="B10" xr:uid="{00000000-0002-0000-0700-00000C000000}"/>
  </dataValidations>
  <printOptions horizontalCentered="1" verticalCentered="1"/>
  <pageMargins left="0.5" right="0.5" top="0.5" bottom="0.5" header="0.3" footer="0.3"/>
  <pageSetup paperSize="9" scale="56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  <pageSetUpPr fitToPage="1"/>
  </sheetPr>
  <dimension ref="A1:O43"/>
  <sheetViews>
    <sheetView showGridLines="0" topLeftCell="C10" zoomScaleNormal="100" zoomScalePageLayoutView="84" workbookViewId="0">
      <selection activeCell="J11" sqref="J11"/>
    </sheetView>
  </sheetViews>
  <sheetFormatPr defaultColWidth="8.796875" defaultRowHeight="30" customHeight="1"/>
  <cols>
    <col min="1" max="1" width="2.796875" style="4" customWidth="1"/>
    <col min="2" max="2" width="20.796875" style="1" customWidth="1"/>
    <col min="3" max="8" width="10.796875" style="4" customWidth="1"/>
    <col min="9" max="11" width="20.796875" style="4" customWidth="1"/>
    <col min="12" max="12" width="10.796875" style="1" customWidth="1"/>
    <col min="13" max="13" width="10.796875" style="4" customWidth="1"/>
    <col min="14" max="14" width="70.796875" style="4" customWidth="1"/>
    <col min="15" max="15" width="79.3984375" style="57" customWidth="1"/>
    <col min="16" max="16384" width="8.796875" style="4"/>
  </cols>
  <sheetData>
    <row r="1" spans="1:15" ht="30" customHeight="1">
      <c r="A1" s="1"/>
      <c r="B1" s="29">
        <f>_xlfn.SINGLE(行事曆年份)</f>
        <v>2026</v>
      </c>
      <c r="L1" s="5" t="s">
        <v>23</v>
      </c>
      <c r="M1" s="5" t="s">
        <v>24</v>
      </c>
      <c r="N1" s="6" t="s">
        <v>44</v>
      </c>
      <c r="O1" s="59" t="s">
        <v>45</v>
      </c>
    </row>
    <row r="2" spans="1:15" ht="30" customHeight="1">
      <c r="A2" s="7"/>
      <c r="B2" s="30" t="s">
        <v>37</v>
      </c>
      <c r="C2" s="9" t="s">
        <v>13</v>
      </c>
      <c r="D2" s="9" t="s">
        <v>5</v>
      </c>
      <c r="E2" s="9" t="s">
        <v>14</v>
      </c>
      <c r="F2" s="9" t="s">
        <v>19</v>
      </c>
      <c r="G2" s="9" t="s">
        <v>20</v>
      </c>
      <c r="H2" s="9" t="s">
        <v>21</v>
      </c>
      <c r="I2" s="9" t="s">
        <v>22</v>
      </c>
      <c r="J2" s="9"/>
      <c r="K2" s="9"/>
      <c r="L2" s="10" t="s">
        <v>5</v>
      </c>
      <c r="M2" s="35"/>
      <c r="O2" s="54"/>
    </row>
    <row r="3" spans="1:15" ht="30" customHeight="1">
      <c r="A3" s="7"/>
      <c r="C3" s="47">
        <f>IF(DAY(SepSun1)=1,SepSun1-6,SepSun1+1)</f>
        <v>46264</v>
      </c>
      <c r="D3" s="47">
        <f>IF(DAY(SepSun1)=1,SepSun1-5,SepSun1+2)</f>
        <v>46265</v>
      </c>
      <c r="E3" s="47">
        <f>IF(DAY(SepSun1)=1,SepSun1-4,SepSun1+3)</f>
        <v>46266</v>
      </c>
      <c r="F3" s="47">
        <f>IF(DAY(SepSun1)=1,SepSun1-3,SepSun1+4)</f>
        <v>46267</v>
      </c>
      <c r="G3" s="47">
        <f>IF(DAY(SepSun1)=1,SepSun1-2,SepSun1+5)</f>
        <v>46268</v>
      </c>
      <c r="H3" s="47">
        <f>IF(DAY(SepSun1)=1,SepSun1-1,SepSun1+6)</f>
        <v>46269</v>
      </c>
      <c r="I3" s="47">
        <f>IF(DAY(SepSun1)=1,SepSun1,SepSun1+7)</f>
        <v>46270</v>
      </c>
      <c r="J3" s="47"/>
      <c r="K3" s="47"/>
      <c r="L3" s="10"/>
      <c r="M3" s="11"/>
      <c r="O3" s="54"/>
    </row>
    <row r="4" spans="1:15" ht="30" customHeight="1">
      <c r="A4" s="7"/>
      <c r="C4" s="47">
        <f>IF(DAY(SepSun1)=1,SepSun1+1,SepSun1+8)</f>
        <v>46271</v>
      </c>
      <c r="D4" s="47">
        <f>IF(DAY(SepSun1)=1,SepSun1+2,SepSun1+9)</f>
        <v>46272</v>
      </c>
      <c r="E4" s="47">
        <f>IF(DAY(SepSun1)=1,SepSun1+3,SepSun1+10)</f>
        <v>46273</v>
      </c>
      <c r="F4" s="47">
        <f>IF(DAY(SepSun1)=1,SepSun1+4,SepSun1+11)</f>
        <v>46274</v>
      </c>
      <c r="G4" s="47">
        <f>IF(DAY(SepSun1)=1,SepSun1+5,SepSun1+12)</f>
        <v>46275</v>
      </c>
      <c r="H4" s="47">
        <f>IF(DAY(SepSun1)=1,SepSun1+6,SepSun1+13)</f>
        <v>46276</v>
      </c>
      <c r="I4" s="47">
        <f>IF(DAY(SepSun1)=1,SepSun1+7,SepSun1+14)</f>
        <v>46277</v>
      </c>
      <c r="J4" s="47"/>
      <c r="K4" s="47"/>
      <c r="L4" s="10"/>
      <c r="M4" s="11"/>
      <c r="O4" s="54"/>
    </row>
    <row r="5" spans="1:15" ht="30" customHeight="1">
      <c r="A5" s="7"/>
      <c r="C5" s="47">
        <f>IF(DAY(SepSun1)=1,SepSun1+8,SepSun1+15)</f>
        <v>46278</v>
      </c>
      <c r="D5" s="47">
        <f>IF(DAY(SepSun1)=1,SepSun1+9,SepSun1+16)</f>
        <v>46279</v>
      </c>
      <c r="E5" s="47">
        <f>IF(DAY(SepSun1)=1,SepSun1+10,SepSun1+17)</f>
        <v>46280</v>
      </c>
      <c r="F5" s="47">
        <f>IF(DAY(SepSun1)=1,SepSun1+11,SepSun1+18)</f>
        <v>46281</v>
      </c>
      <c r="G5" s="47">
        <f>IF(DAY(SepSun1)=1,SepSun1+12,SepSun1+19)</f>
        <v>46282</v>
      </c>
      <c r="H5" s="47">
        <f>IF(DAY(SepSun1)=1,SepSun1+13,SepSun1+20)</f>
        <v>46283</v>
      </c>
      <c r="I5" s="47">
        <f>IF(DAY(SepSun1)=1,SepSun1+14,SepSun1+21)</f>
        <v>46284</v>
      </c>
      <c r="J5" s="47"/>
      <c r="K5" s="47"/>
      <c r="L5" s="10"/>
      <c r="M5" s="11"/>
      <c r="O5" s="54"/>
    </row>
    <row r="6" spans="1:15" ht="30" customHeight="1">
      <c r="A6" s="7"/>
      <c r="C6" s="47">
        <f>IF(DAY(SepSun1)=1,SepSun1+15,SepSun1+22)</f>
        <v>46285</v>
      </c>
      <c r="D6" s="47">
        <f>IF(DAY(SepSun1)=1,SepSun1+16,SepSun1+23)</f>
        <v>46286</v>
      </c>
      <c r="E6" s="47">
        <f>IF(DAY(SepSun1)=1,SepSun1+17,SepSun1+24)</f>
        <v>46287</v>
      </c>
      <c r="F6" s="47">
        <f>IF(DAY(SepSun1)=1,SepSun1+18,SepSun1+25)</f>
        <v>46288</v>
      </c>
      <c r="G6" s="47">
        <f>IF(DAY(SepSun1)=1,SepSun1+19,SepSun1+26)</f>
        <v>46289</v>
      </c>
      <c r="H6" s="47">
        <f>IF(DAY(SepSun1)=1,SepSun1+20,SepSun1+27)</f>
        <v>46290</v>
      </c>
      <c r="I6" s="47">
        <f>IF(DAY(SepSun1)=1,SepSun1+21,SepSun1+28)</f>
        <v>46291</v>
      </c>
      <c r="J6" s="47"/>
      <c r="K6" s="47"/>
      <c r="L6" s="10"/>
      <c r="M6" s="11"/>
      <c r="O6" s="54"/>
    </row>
    <row r="7" spans="1:15" ht="30" customHeight="1">
      <c r="A7" s="7"/>
      <c r="C7" s="47">
        <f>IF(DAY(SepSun1)=1,SepSun1+22,SepSun1+29)</f>
        <v>46292</v>
      </c>
      <c r="D7" s="47">
        <f>IF(DAY(SepSun1)=1,SepSun1+23,SepSun1+30)</f>
        <v>46293</v>
      </c>
      <c r="E7" s="47">
        <f>IF(DAY(SepSun1)=1,SepSun1+24,SepSun1+31)</f>
        <v>46294</v>
      </c>
      <c r="F7" s="47">
        <f>IF(DAY(SepSun1)=1,SepSun1+25,SepSun1+32)</f>
        <v>46295</v>
      </c>
      <c r="G7" s="47">
        <f>IF(DAY(SepSun1)=1,SepSun1+26,SepSun1+33)</f>
        <v>46296</v>
      </c>
      <c r="H7" s="47">
        <f>IF(DAY(SepSun1)=1,SepSun1+27,SepSun1+34)</f>
        <v>46297</v>
      </c>
      <c r="I7" s="47">
        <f>IF(DAY(SepSun1)=1,SepSun1+28,SepSun1+35)</f>
        <v>46298</v>
      </c>
      <c r="J7" s="47"/>
      <c r="K7" s="47"/>
      <c r="L7" s="36"/>
      <c r="M7" s="37"/>
      <c r="N7" s="26"/>
      <c r="O7" s="54"/>
    </row>
    <row r="8" spans="1:15" ht="30" customHeight="1">
      <c r="A8" s="7"/>
      <c r="B8" s="15"/>
      <c r="C8" s="47">
        <f>IF(DAY(SepSun1)=1,SepSun1+29,SepSun1+36)</f>
        <v>46299</v>
      </c>
      <c r="D8" s="47">
        <f>IF(DAY(SepSun1)=1,SepSun1+30,SepSun1+37)</f>
        <v>46300</v>
      </c>
      <c r="E8" s="47">
        <f>IF(DAY(SepSun1)=1,SepSun1+31,SepSun1+38)</f>
        <v>46301</v>
      </c>
      <c r="F8" s="47">
        <f>IF(DAY(SepSun1)=1,SepSun1+32,SepSun1+39)</f>
        <v>46302</v>
      </c>
      <c r="G8" s="47">
        <f>IF(DAY(SepSun1)=1,SepSun1+33,SepSun1+40)</f>
        <v>46303</v>
      </c>
      <c r="H8" s="47">
        <f>IF(DAY(SepSun1)=1,SepSun1+34,SepSun1+41)</f>
        <v>46304</v>
      </c>
      <c r="I8" s="47">
        <f>IF(DAY(SepSun1)=1,SepSun1+35,SepSun1+42)</f>
        <v>46305</v>
      </c>
      <c r="J8" s="47"/>
      <c r="K8" s="47"/>
      <c r="L8" s="10" t="s">
        <v>14</v>
      </c>
      <c r="M8" s="35"/>
      <c r="O8" s="54"/>
    </row>
    <row r="9" spans="1:15" ht="30" customHeight="1">
      <c r="A9" s="7"/>
      <c r="C9" s="31"/>
      <c r="D9" s="31"/>
      <c r="E9" s="31"/>
      <c r="F9" s="31"/>
      <c r="G9" s="31"/>
      <c r="H9" s="31"/>
      <c r="I9" s="31"/>
      <c r="J9" s="31"/>
      <c r="K9" s="31"/>
      <c r="L9" s="10"/>
      <c r="M9" s="11"/>
      <c r="O9" s="54"/>
    </row>
    <row r="10" spans="1:15" ht="30" customHeight="1">
      <c r="A10" s="7"/>
      <c r="B10" s="16" t="s">
        <v>42</v>
      </c>
      <c r="C10" s="17"/>
      <c r="D10" s="17"/>
      <c r="E10" s="17"/>
      <c r="F10" s="17"/>
      <c r="G10" s="17"/>
      <c r="H10" s="17"/>
      <c r="I10" s="17"/>
      <c r="J10" s="17"/>
      <c r="K10" s="17"/>
      <c r="L10" s="10"/>
      <c r="M10" s="11"/>
      <c r="O10" s="54"/>
    </row>
    <row r="11" spans="1:15" ht="30" customHeight="1">
      <c r="A11" s="18" t="s">
        <v>23</v>
      </c>
      <c r="B11" s="19" t="s">
        <v>5</v>
      </c>
      <c r="C11" s="76" t="s">
        <v>14</v>
      </c>
      <c r="D11" s="77"/>
      <c r="E11" s="76" t="s">
        <v>19</v>
      </c>
      <c r="F11" s="77"/>
      <c r="G11" s="76" t="s">
        <v>20</v>
      </c>
      <c r="H11" s="77"/>
      <c r="I11" s="73" t="s">
        <v>21</v>
      </c>
      <c r="J11" s="74" t="s">
        <v>47</v>
      </c>
      <c r="K11" s="20" t="s">
        <v>48</v>
      </c>
      <c r="L11" s="10"/>
      <c r="M11" s="11"/>
      <c r="O11" s="54"/>
    </row>
    <row r="12" spans="1:15" ht="30" customHeight="1">
      <c r="A12" s="18" t="s">
        <v>1</v>
      </c>
      <c r="B12" s="21"/>
      <c r="C12" s="78"/>
      <c r="D12" s="78"/>
      <c r="E12" s="78"/>
      <c r="F12" s="78"/>
      <c r="G12" s="78"/>
      <c r="H12" s="78"/>
      <c r="I12" s="32"/>
      <c r="J12" s="65"/>
      <c r="K12" s="65"/>
      <c r="L12" s="10"/>
      <c r="M12" s="11"/>
      <c r="O12" s="54"/>
    </row>
    <row r="13" spans="1:15" ht="30" customHeight="1">
      <c r="A13" s="18" t="s">
        <v>2</v>
      </c>
      <c r="B13" s="23"/>
      <c r="C13" s="79"/>
      <c r="D13" s="79"/>
      <c r="E13" s="79"/>
      <c r="F13" s="79"/>
      <c r="G13" s="79"/>
      <c r="H13" s="79"/>
      <c r="I13" s="23"/>
      <c r="J13" s="49"/>
      <c r="K13" s="49"/>
      <c r="L13" s="36"/>
      <c r="M13" s="37"/>
      <c r="N13" s="26"/>
      <c r="O13" s="54"/>
    </row>
    <row r="14" spans="1:15" ht="30" customHeight="1">
      <c r="A14" s="18" t="s">
        <v>1</v>
      </c>
      <c r="B14" s="21"/>
      <c r="C14" s="78"/>
      <c r="D14" s="78"/>
      <c r="E14" s="78"/>
      <c r="F14" s="78"/>
      <c r="G14" s="78"/>
      <c r="H14" s="78"/>
      <c r="I14" s="32"/>
      <c r="J14" s="65"/>
      <c r="K14" s="65"/>
      <c r="L14" s="10" t="s">
        <v>19</v>
      </c>
      <c r="M14" s="35"/>
      <c r="O14" s="54"/>
    </row>
    <row r="15" spans="1:15" ht="30" customHeight="1">
      <c r="A15" s="18" t="s">
        <v>2</v>
      </c>
      <c r="B15" s="23"/>
      <c r="C15" s="79"/>
      <c r="D15" s="79"/>
      <c r="E15" s="79"/>
      <c r="F15" s="79"/>
      <c r="G15" s="79"/>
      <c r="H15" s="79"/>
      <c r="I15" s="23"/>
      <c r="J15" s="49"/>
      <c r="K15" s="49"/>
      <c r="L15" s="10"/>
      <c r="M15" s="11"/>
      <c r="O15" s="54"/>
    </row>
    <row r="16" spans="1:15" ht="30" customHeight="1">
      <c r="A16" s="18" t="s">
        <v>1</v>
      </c>
      <c r="B16" s="21"/>
      <c r="C16" s="78"/>
      <c r="D16" s="78"/>
      <c r="E16" s="78"/>
      <c r="F16" s="78"/>
      <c r="G16" s="78"/>
      <c r="H16" s="78"/>
      <c r="I16" s="33"/>
      <c r="J16" s="65"/>
      <c r="K16" s="65"/>
      <c r="L16" s="10"/>
      <c r="M16" s="11"/>
      <c r="O16" s="54"/>
    </row>
    <row r="17" spans="1:15" ht="30" customHeight="1">
      <c r="A17" s="18" t="s">
        <v>2</v>
      </c>
      <c r="B17" s="23"/>
      <c r="C17" s="79"/>
      <c r="D17" s="79"/>
      <c r="E17" s="79"/>
      <c r="F17" s="79"/>
      <c r="G17" s="79"/>
      <c r="H17" s="79"/>
      <c r="I17" s="23"/>
      <c r="J17" s="49"/>
      <c r="K17" s="49"/>
      <c r="L17" s="10"/>
      <c r="M17" s="11"/>
      <c r="O17" s="54"/>
    </row>
    <row r="18" spans="1:15" ht="30" customHeight="1">
      <c r="A18" s="18" t="s">
        <v>1</v>
      </c>
      <c r="B18" s="21"/>
      <c r="C18" s="78"/>
      <c r="D18" s="78"/>
      <c r="E18" s="78"/>
      <c r="F18" s="78"/>
      <c r="G18" s="78"/>
      <c r="H18" s="78"/>
      <c r="I18" s="32"/>
      <c r="J18" s="65"/>
      <c r="K18" s="65"/>
      <c r="L18" s="10"/>
      <c r="M18" s="11"/>
      <c r="O18" s="54"/>
    </row>
    <row r="19" spans="1:15" ht="30" customHeight="1">
      <c r="A19" s="18" t="s">
        <v>2</v>
      </c>
      <c r="B19" s="23"/>
      <c r="C19" s="79"/>
      <c r="D19" s="79"/>
      <c r="E19" s="79"/>
      <c r="F19" s="79"/>
      <c r="G19" s="79"/>
      <c r="H19" s="79"/>
      <c r="I19" s="34"/>
      <c r="J19" s="34"/>
      <c r="K19" s="34"/>
      <c r="L19" s="36"/>
      <c r="M19" s="37"/>
      <c r="N19" s="38"/>
      <c r="O19" s="54"/>
    </row>
    <row r="20" spans="1:15" ht="30" customHeight="1">
      <c r="A20" s="18" t="s">
        <v>1</v>
      </c>
      <c r="B20" s="21"/>
      <c r="C20" s="78"/>
      <c r="D20" s="78"/>
      <c r="E20" s="78"/>
      <c r="F20" s="78"/>
      <c r="G20" s="78"/>
      <c r="H20" s="78"/>
      <c r="I20" s="32"/>
      <c r="J20" s="65"/>
      <c r="K20" s="65"/>
      <c r="L20" s="10" t="s">
        <v>20</v>
      </c>
      <c r="M20" s="35"/>
      <c r="O20" s="54"/>
    </row>
    <row r="21" spans="1:15" ht="30" customHeight="1">
      <c r="A21" s="18" t="s">
        <v>2</v>
      </c>
      <c r="B21" s="23"/>
      <c r="C21" s="79"/>
      <c r="D21" s="79"/>
      <c r="E21" s="79"/>
      <c r="F21" s="79"/>
      <c r="G21" s="79"/>
      <c r="H21" s="79"/>
      <c r="I21" s="23"/>
      <c r="J21" s="49"/>
      <c r="K21" s="49"/>
      <c r="L21" s="10"/>
      <c r="M21" s="11"/>
      <c r="O21" s="54"/>
    </row>
    <row r="22" spans="1:15" ht="30" customHeight="1">
      <c r="A22" s="18" t="s">
        <v>1</v>
      </c>
      <c r="B22" s="21"/>
      <c r="C22" s="78"/>
      <c r="D22" s="78"/>
      <c r="E22" s="78"/>
      <c r="F22" s="78"/>
      <c r="G22" s="78"/>
      <c r="H22" s="78"/>
      <c r="I22" s="32"/>
      <c r="J22" s="65"/>
      <c r="K22" s="65"/>
      <c r="L22" s="10"/>
      <c r="M22" s="11"/>
      <c r="O22" s="54"/>
    </row>
    <row r="23" spans="1:15" ht="30" customHeight="1">
      <c r="A23" s="18" t="s">
        <v>2</v>
      </c>
      <c r="B23" s="23"/>
      <c r="C23" s="79"/>
      <c r="D23" s="79"/>
      <c r="E23" s="79"/>
      <c r="F23" s="79"/>
      <c r="G23" s="79"/>
      <c r="H23" s="79"/>
      <c r="I23" s="23"/>
      <c r="J23" s="49"/>
      <c r="K23" s="49"/>
      <c r="L23" s="10"/>
      <c r="M23" s="11"/>
      <c r="O23" s="54"/>
    </row>
    <row r="24" spans="1:15" ht="30" customHeight="1">
      <c r="A24" s="18" t="s">
        <v>1</v>
      </c>
      <c r="B24" s="21"/>
      <c r="C24" s="78"/>
      <c r="D24" s="78"/>
      <c r="E24" s="78"/>
      <c r="F24" s="78"/>
      <c r="G24" s="78"/>
      <c r="H24" s="78"/>
      <c r="I24" s="32"/>
      <c r="J24" s="65"/>
      <c r="K24" s="65"/>
      <c r="L24" s="10"/>
      <c r="M24" s="11"/>
      <c r="O24" s="54"/>
    </row>
    <row r="25" spans="1:15" ht="30" customHeight="1">
      <c r="A25" s="18" t="s">
        <v>2</v>
      </c>
      <c r="B25" s="23"/>
      <c r="C25" s="79"/>
      <c r="D25" s="79"/>
      <c r="E25" s="79"/>
      <c r="F25" s="79"/>
      <c r="G25" s="79"/>
      <c r="H25" s="79"/>
      <c r="I25" s="23"/>
      <c r="J25" s="49"/>
      <c r="K25" s="49"/>
      <c r="L25" s="36"/>
      <c r="M25" s="37"/>
      <c r="N25" s="38"/>
      <c r="O25" s="54"/>
    </row>
    <row r="26" spans="1:15" ht="30" customHeight="1">
      <c r="A26" s="18" t="s">
        <v>1</v>
      </c>
      <c r="B26" s="21"/>
      <c r="C26" s="78"/>
      <c r="D26" s="78"/>
      <c r="E26" s="78"/>
      <c r="F26" s="78"/>
      <c r="G26" s="78"/>
      <c r="H26" s="78"/>
      <c r="I26" s="32"/>
      <c r="J26" s="65"/>
      <c r="K26" s="65"/>
      <c r="L26" s="10" t="s">
        <v>21</v>
      </c>
      <c r="M26" s="35"/>
      <c r="O26" s="54"/>
    </row>
    <row r="27" spans="1:15" ht="30" customHeight="1">
      <c r="A27" s="18" t="s">
        <v>2</v>
      </c>
      <c r="B27" s="23"/>
      <c r="C27" s="79"/>
      <c r="D27" s="79"/>
      <c r="E27" s="79"/>
      <c r="F27" s="79"/>
      <c r="G27" s="79"/>
      <c r="H27" s="79"/>
      <c r="I27" s="23"/>
      <c r="J27" s="49"/>
      <c r="K27" s="49"/>
      <c r="L27" s="10"/>
      <c r="M27" s="11"/>
      <c r="O27" s="54"/>
    </row>
    <row r="28" spans="1:15" ht="30" customHeight="1">
      <c r="A28" s="18" t="s">
        <v>1</v>
      </c>
      <c r="B28" s="21"/>
      <c r="C28" s="78"/>
      <c r="D28" s="78"/>
      <c r="E28" s="78"/>
      <c r="F28" s="78"/>
      <c r="G28" s="78"/>
      <c r="H28" s="78"/>
      <c r="I28" s="32"/>
      <c r="J28" s="65"/>
      <c r="K28" s="65"/>
      <c r="L28" s="10"/>
      <c r="M28" s="11"/>
      <c r="O28" s="54"/>
    </row>
    <row r="29" spans="1:15" ht="30" customHeight="1">
      <c r="A29" s="18" t="s">
        <v>2</v>
      </c>
      <c r="B29" s="23"/>
      <c r="C29" s="79"/>
      <c r="D29" s="79"/>
      <c r="E29" s="79"/>
      <c r="F29" s="79"/>
      <c r="G29" s="79"/>
      <c r="H29" s="79"/>
      <c r="I29" s="23"/>
      <c r="J29" s="49"/>
      <c r="K29" s="49"/>
      <c r="L29" s="10"/>
      <c r="M29" s="11"/>
      <c r="O29" s="54"/>
    </row>
    <row r="30" spans="1:15" ht="30" customHeight="1">
      <c r="A30" s="18" t="s">
        <v>1</v>
      </c>
      <c r="B30" s="21"/>
      <c r="C30" s="78"/>
      <c r="D30" s="78"/>
      <c r="E30" s="78"/>
      <c r="F30" s="78"/>
      <c r="G30" s="78"/>
      <c r="H30" s="78"/>
      <c r="I30" s="32"/>
      <c r="J30" s="65"/>
      <c r="K30" s="65"/>
      <c r="L30" s="10"/>
      <c r="M30" s="11"/>
      <c r="O30" s="54"/>
    </row>
    <row r="31" spans="1:15" ht="30" customHeight="1">
      <c r="A31" s="18" t="s">
        <v>2</v>
      </c>
      <c r="B31" s="39"/>
      <c r="C31" s="81"/>
      <c r="D31" s="81"/>
      <c r="E31" s="81"/>
      <c r="F31" s="81"/>
      <c r="G31" s="81"/>
      <c r="H31" s="81"/>
      <c r="I31" s="39"/>
      <c r="J31" s="51"/>
      <c r="K31" s="51"/>
      <c r="L31" s="10"/>
      <c r="M31" s="63"/>
      <c r="N31" s="40"/>
      <c r="O31" s="54"/>
    </row>
    <row r="32" spans="1:15" ht="30" customHeight="1">
      <c r="L32" s="66" t="s">
        <v>47</v>
      </c>
      <c r="M32" s="67"/>
      <c r="N32" s="56"/>
    </row>
    <row r="33" spans="12:14" ht="30" customHeight="1">
      <c r="L33" s="10"/>
      <c r="M33" s="11"/>
    </row>
    <row r="34" spans="12:14" ht="30" customHeight="1">
      <c r="L34" s="10"/>
      <c r="M34" s="11"/>
    </row>
    <row r="35" spans="12:14" ht="30" customHeight="1">
      <c r="L35" s="10"/>
      <c r="M35" s="11"/>
    </row>
    <row r="36" spans="12:14" ht="30" customHeight="1">
      <c r="L36" s="10"/>
      <c r="M36" s="11"/>
    </row>
    <row r="37" spans="12:14" ht="30" customHeight="1">
      <c r="L37" s="62"/>
      <c r="M37" s="63"/>
      <c r="N37" s="69"/>
    </row>
    <row r="38" spans="12:14" ht="30" customHeight="1">
      <c r="L38" s="66" t="s">
        <v>48</v>
      </c>
      <c r="M38" s="67"/>
      <c r="N38" s="56"/>
    </row>
    <row r="39" spans="12:14" ht="30" customHeight="1">
      <c r="L39" s="10"/>
      <c r="M39" s="11"/>
    </row>
    <row r="40" spans="12:14" ht="30" customHeight="1">
      <c r="L40" s="10"/>
      <c r="M40" s="11"/>
    </row>
    <row r="41" spans="12:14" ht="30" customHeight="1">
      <c r="L41" s="10"/>
      <c r="M41" s="11"/>
    </row>
    <row r="42" spans="12:14" ht="30" customHeight="1">
      <c r="L42" s="10"/>
      <c r="M42" s="11"/>
    </row>
    <row r="43" spans="12:14" ht="30" customHeight="1">
      <c r="L43" s="62"/>
      <c r="M43" s="63"/>
      <c r="N43" s="69"/>
    </row>
  </sheetData>
  <mergeCells count="63">
    <mergeCell ref="C31:D31"/>
    <mergeCell ref="E31:F31"/>
    <mergeCell ref="G31:H31"/>
    <mergeCell ref="C29:D29"/>
    <mergeCell ref="E29:F29"/>
    <mergeCell ref="G29:H29"/>
    <mergeCell ref="C30:D30"/>
    <mergeCell ref="E30:F30"/>
    <mergeCell ref="G30:H30"/>
    <mergeCell ref="C27:D27"/>
    <mergeCell ref="E27:F27"/>
    <mergeCell ref="G27:H27"/>
    <mergeCell ref="C28:D28"/>
    <mergeCell ref="E28:F28"/>
    <mergeCell ref="G28:H28"/>
    <mergeCell ref="C25:D25"/>
    <mergeCell ref="E25:F25"/>
    <mergeCell ref="G25:H25"/>
    <mergeCell ref="C26:D26"/>
    <mergeCell ref="E26:F26"/>
    <mergeCell ref="G26:H26"/>
    <mergeCell ref="C23:D23"/>
    <mergeCell ref="E23:F23"/>
    <mergeCell ref="G23:H23"/>
    <mergeCell ref="C24:D24"/>
    <mergeCell ref="E24:F24"/>
    <mergeCell ref="G24:H24"/>
    <mergeCell ref="C21:D21"/>
    <mergeCell ref="E21:F21"/>
    <mergeCell ref="G21:H21"/>
    <mergeCell ref="C22:D22"/>
    <mergeCell ref="E22:F22"/>
    <mergeCell ref="G22:H22"/>
    <mergeCell ref="C19:D19"/>
    <mergeCell ref="E19:F19"/>
    <mergeCell ref="G19:H19"/>
    <mergeCell ref="C20:D20"/>
    <mergeCell ref="E20:F20"/>
    <mergeCell ref="G20:H20"/>
    <mergeCell ref="C17:D17"/>
    <mergeCell ref="E17:F17"/>
    <mergeCell ref="G17:H17"/>
    <mergeCell ref="C18:D18"/>
    <mergeCell ref="E18:F18"/>
    <mergeCell ref="G18:H18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C11:D11"/>
    <mergeCell ref="E11:F11"/>
    <mergeCell ref="G11:H11"/>
    <mergeCell ref="C12:D12"/>
    <mergeCell ref="E12:F12"/>
    <mergeCell ref="G12:H12"/>
  </mergeCells>
  <phoneticPr fontId="31" type="noConversion"/>
  <conditionalFormatting sqref="B12:K12 B14:K14 B16:K16 B18:K18 B20:K20 B22:K22 B24:K24 B26:K26 B28:K28 B30:K30">
    <cfRule type="expression" dxfId="71" priority="3">
      <formula>B12&lt;&gt;""</formula>
    </cfRule>
  </conditionalFormatting>
  <conditionalFormatting sqref="B12:K31">
    <cfRule type="expression" dxfId="70" priority="1">
      <formula>COLUMN(B12)&gt;2</formula>
    </cfRule>
  </conditionalFormatting>
  <conditionalFormatting sqref="B13:K13 B15:K15 B17:K17 B19:K19 B21:K21 B23:K23 B25:K25 B27:K27 B29:K29 B31:K31">
    <cfRule type="expression" dxfId="69" priority="4">
      <formula>B13&lt;&gt;""</formula>
    </cfRule>
  </conditionalFormatting>
  <conditionalFormatting sqref="B13:K13 B15:K15 B17:K17 B19:K19 B21:K21 B23:K23 B25:K25 B27:K27 B29:K29">
    <cfRule type="expression" dxfId="68" priority="2">
      <formula>COLUMN(B13)&gt;=2</formula>
    </cfRule>
  </conditionalFormatting>
  <conditionalFormatting sqref="C3:H3">
    <cfRule type="expression" dxfId="67" priority="6" stopIfTrue="1">
      <formula>DAY(C3)&gt;8</formula>
    </cfRule>
  </conditionalFormatting>
  <conditionalFormatting sqref="C3:K8">
    <cfRule type="expression" dxfId="66" priority="7">
      <formula>VLOOKUP(DAY(C3),作業日期,1,FALSE)=DAY(C3)</formula>
    </cfRule>
  </conditionalFormatting>
  <conditionalFormatting sqref="C7:K8">
    <cfRule type="expression" dxfId="65" priority="5" stopIfTrue="1">
      <formula>AND(DAY(C7)&gt;=1,DAY(C7)&lt;=15)</formula>
    </cfRule>
  </conditionalFormatting>
  <dataValidations count="13">
    <dataValidation allowBlank="1" showInputMessage="1" showErrorMessage="1" prompt="在此列的欄 B 到欄 I 中輸入課程" sqref="B13" xr:uid="{00000000-0002-0000-0800-000000000000}"/>
    <dataValidation allowBlank="1" showInputMessage="1" showErrorMessage="1" prompt="在此列的欄 B 到欄 I 中輸入時間" sqref="B12" xr:uid="{00000000-0002-0000-0800-000001000000}"/>
    <dataValidation allowBlank="1" showInputMessage="1" showErrorMessage="1" prompt="如果此列中的數字小於前面的數字或前一列的數字，則此列會包含下個行事曆月份的日期" sqref="C8" xr:uid="{00000000-0002-0000-0800-000002000000}"/>
    <dataValidation allowBlank="1" showInputMessage="1" showErrorMessage="1" prompt="如果此儲存格中沒有數字 1，就表示它是上個月的日期。儲存格 C3:I8 包含當月的日期" sqref="C3" xr:uid="{00000000-0002-0000-0800-000003000000}"/>
    <dataValidation allowBlank="1" showInputMessage="1" showErrorMessage="1" prompt="儲存格 C2:I2 包含工作日" sqref="C2:D2" xr:uid="{E24C4986-83C3-46A9-B8A5-A01692945BDA}"/>
    <dataValidation allowBlank="1" showInputMessage="1" showErrorMessage="1" prompt="在此工作表中排定每週課表與建立作業清單。在 [1 月] 工作表的儲存格 B1 中輸入之年份的每月行事曆中，會自動醒目提示相關作業" sqref="A1" xr:uid="{00000000-0002-0000-0800-000005000000}"/>
    <dataValidation allowBlank="1" showInputMessage="1" showErrorMessage="1" prompt="行事曆年份會自動更新。若要變更年份，請更新 [1 月] 工作表中的儲存格 B1" sqref="B1" xr:uid="{00000000-0002-0000-0800-000006000000}"/>
    <dataValidation allowBlank="1" showInputMessage="1" showErrorMessage="1" prompt="9 月行事曆會自動醒目提示當月的作業清單項目。較深色的字型表示該日期有作業。較淺色的字型表示屬於上個月或下個月的日期" sqref="B2" xr:uid="{00000000-0002-0000-0800-000007000000}"/>
    <dataValidation allowBlank="1" showInputMessage="1" showErrorMessage="1" prompt="此欄依星期幾分組，每組包含 6 個列，用於記錄當月依每個星期幾分組的作業。插入新列即可新增更多作業。左側的行事曆會醒目提示相關項目" sqref="L1" xr:uid="{00000000-0002-0000-0800-000008000000}"/>
    <dataValidation allowBlank="1" showInputMessage="1" showErrorMessage="1" prompt="在此欄中輸入與左側行事曆月份欄 J 中的星期幾以及欄 K 中的日期相對應的作業詳細資料" sqref="N1:O1" xr:uid="{00000000-0002-0000-0800-000009000000}"/>
    <dataValidation allowBlank="1" showInputMessage="1" showErrorMessage="1" prompt="在此欄中輸入與欄 J 中的星期幾相對應的當月作業日期。左側行事曆中的這個日期會醒目提示相關作業" sqref="M1" xr:uid="{00000000-0002-0000-0800-00000A000000}"/>
    <dataValidation allowBlank="1" showInputMessage="1" showErrorMessage="1" prompt="此列為星期幾，包括星期一到星期五" sqref="B11" xr:uid="{00000000-0002-0000-0800-00000B000000}"/>
    <dataValidation allowBlank="1" showInputMessage="1" showErrorMessage="1" prompt="輸入課程的時間，並在底下新列中的欄 B 到欄 I 的每個星期幾中輸入課程名稱。在後續各列中，針對所有課程重複此輸入方式" sqref="B10" xr:uid="{00000000-0002-0000-0800-00000C000000}"/>
  </dataValidations>
  <printOptions horizontalCentered="1" verticalCentered="1"/>
  <pageMargins left="0.5" right="0.5" top="0.5" bottom="0.5" header="0.3" footer="0.3"/>
  <pageSetup paperSize="9" scale="56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  <pageSetUpPr fitToPage="1"/>
  </sheetPr>
  <dimension ref="A1:O43"/>
  <sheetViews>
    <sheetView showGridLines="0" zoomScaleNormal="100" zoomScalePageLayoutView="84" workbookViewId="0">
      <selection activeCell="J11" sqref="J11"/>
    </sheetView>
  </sheetViews>
  <sheetFormatPr defaultColWidth="8.796875" defaultRowHeight="30" customHeight="1"/>
  <cols>
    <col min="1" max="1" width="2.796875" style="4" customWidth="1"/>
    <col min="2" max="2" width="20.796875" style="1" customWidth="1"/>
    <col min="3" max="8" width="10.796875" style="4" customWidth="1"/>
    <col min="9" max="11" width="20.796875" style="4" customWidth="1"/>
    <col min="12" max="12" width="10.796875" style="1" customWidth="1"/>
    <col min="13" max="13" width="10.796875" style="4" customWidth="1"/>
    <col min="14" max="14" width="70.796875" style="4" customWidth="1"/>
    <col min="15" max="15" width="79.3984375" style="57" customWidth="1"/>
    <col min="16" max="16384" width="8.796875" style="4"/>
  </cols>
  <sheetData>
    <row r="1" spans="1:15" ht="30" customHeight="1">
      <c r="A1" s="1"/>
      <c r="B1" s="29">
        <f>_xlfn.SINGLE(行事曆年份)</f>
        <v>2026</v>
      </c>
      <c r="L1" s="5" t="s">
        <v>23</v>
      </c>
      <c r="M1" s="5" t="s">
        <v>24</v>
      </c>
      <c r="N1" s="6" t="s">
        <v>41</v>
      </c>
      <c r="O1" s="59" t="s">
        <v>45</v>
      </c>
    </row>
    <row r="2" spans="1:15" ht="30" customHeight="1">
      <c r="A2" s="7"/>
      <c r="B2" s="30" t="s">
        <v>38</v>
      </c>
      <c r="C2" s="9" t="s">
        <v>13</v>
      </c>
      <c r="D2" s="9" t="s">
        <v>5</v>
      </c>
      <c r="E2" s="9" t="s">
        <v>14</v>
      </c>
      <c r="F2" s="9" t="s">
        <v>19</v>
      </c>
      <c r="G2" s="9" t="s">
        <v>20</v>
      </c>
      <c r="H2" s="9" t="s">
        <v>21</v>
      </c>
      <c r="I2" s="9" t="s">
        <v>22</v>
      </c>
      <c r="J2" s="9"/>
      <c r="K2" s="9"/>
      <c r="L2" s="10" t="s">
        <v>5</v>
      </c>
      <c r="M2" s="35"/>
      <c r="O2" s="54"/>
    </row>
    <row r="3" spans="1:15" ht="30" customHeight="1">
      <c r="A3" s="7"/>
      <c r="C3" s="47">
        <f>IF(DAY(OctSun1)=1,OctSun1-6,OctSun1+1)</f>
        <v>46292</v>
      </c>
      <c r="D3" s="47">
        <f>IF(DAY(OctSun1)=1,OctSun1-5,OctSun1+2)</f>
        <v>46293</v>
      </c>
      <c r="E3" s="47">
        <f>IF(DAY(OctSun1)=1,OctSun1-4,OctSun1+3)</f>
        <v>46294</v>
      </c>
      <c r="F3" s="47">
        <f>IF(DAY(OctSun1)=1,OctSun1-3,OctSun1+4)</f>
        <v>46295</v>
      </c>
      <c r="G3" s="47">
        <f>IF(DAY(OctSun1)=1,OctSun1-2,OctSun1+5)</f>
        <v>46296</v>
      </c>
      <c r="H3" s="47">
        <f>IF(DAY(OctSun1)=1,OctSun1-1,OctSun1+6)</f>
        <v>46297</v>
      </c>
      <c r="I3" s="47">
        <f>IF(DAY(OctSun1)=1,OctSun1,OctSun1+7)</f>
        <v>46298</v>
      </c>
      <c r="J3" s="47"/>
      <c r="K3" s="47"/>
      <c r="L3" s="10"/>
      <c r="M3" s="11"/>
      <c r="O3" s="54"/>
    </row>
    <row r="4" spans="1:15" ht="30" customHeight="1">
      <c r="A4" s="7"/>
      <c r="C4" s="47">
        <f>IF(DAY(OctSun1)=1,OctSun1+1,OctSun1+8)</f>
        <v>46299</v>
      </c>
      <c r="D4" s="47">
        <f>IF(DAY(OctSun1)=1,OctSun1+2,OctSun1+9)</f>
        <v>46300</v>
      </c>
      <c r="E4" s="47">
        <f>IF(DAY(OctSun1)=1,OctSun1+3,OctSun1+10)</f>
        <v>46301</v>
      </c>
      <c r="F4" s="47">
        <f>IF(DAY(OctSun1)=1,OctSun1+4,OctSun1+11)</f>
        <v>46302</v>
      </c>
      <c r="G4" s="47">
        <f>IF(DAY(OctSun1)=1,OctSun1+5,OctSun1+12)</f>
        <v>46303</v>
      </c>
      <c r="H4" s="47">
        <f>IF(DAY(OctSun1)=1,OctSun1+6,OctSun1+13)</f>
        <v>46304</v>
      </c>
      <c r="I4" s="47">
        <f>IF(DAY(OctSun1)=1,OctSun1+7,OctSun1+14)</f>
        <v>46305</v>
      </c>
      <c r="J4" s="47"/>
      <c r="K4" s="47"/>
      <c r="L4" s="10"/>
      <c r="M4" s="11"/>
      <c r="O4" s="54"/>
    </row>
    <row r="5" spans="1:15" ht="30" customHeight="1">
      <c r="A5" s="7"/>
      <c r="C5" s="47">
        <f>IF(DAY(OctSun1)=1,OctSun1+8,OctSun1+15)</f>
        <v>46306</v>
      </c>
      <c r="D5" s="47">
        <f>IF(DAY(OctSun1)=1,OctSun1+9,OctSun1+16)</f>
        <v>46307</v>
      </c>
      <c r="E5" s="47">
        <f>IF(DAY(OctSun1)=1,OctSun1+10,OctSun1+17)</f>
        <v>46308</v>
      </c>
      <c r="F5" s="47">
        <f>IF(DAY(OctSun1)=1,OctSun1+11,OctSun1+18)</f>
        <v>46309</v>
      </c>
      <c r="G5" s="47">
        <f>IF(DAY(OctSun1)=1,OctSun1+12,OctSun1+19)</f>
        <v>46310</v>
      </c>
      <c r="H5" s="47">
        <f>IF(DAY(OctSun1)=1,OctSun1+13,OctSun1+20)</f>
        <v>46311</v>
      </c>
      <c r="I5" s="47">
        <f>IF(DAY(OctSun1)=1,OctSun1+14,OctSun1+21)</f>
        <v>46312</v>
      </c>
      <c r="J5" s="47"/>
      <c r="K5" s="47"/>
      <c r="L5" s="10"/>
      <c r="M5" s="11"/>
      <c r="O5" s="54"/>
    </row>
    <row r="6" spans="1:15" ht="30" customHeight="1">
      <c r="A6" s="7"/>
      <c r="C6" s="47">
        <f>IF(DAY(OctSun1)=1,OctSun1+15,OctSun1+22)</f>
        <v>46313</v>
      </c>
      <c r="D6" s="47">
        <f>IF(DAY(OctSun1)=1,OctSun1+16,OctSun1+23)</f>
        <v>46314</v>
      </c>
      <c r="E6" s="47">
        <f>IF(DAY(OctSun1)=1,OctSun1+17,OctSun1+24)</f>
        <v>46315</v>
      </c>
      <c r="F6" s="47">
        <f>IF(DAY(OctSun1)=1,OctSun1+18,OctSun1+25)</f>
        <v>46316</v>
      </c>
      <c r="G6" s="47">
        <f>IF(DAY(OctSun1)=1,OctSun1+19,OctSun1+26)</f>
        <v>46317</v>
      </c>
      <c r="H6" s="47">
        <f>IF(DAY(OctSun1)=1,OctSun1+20,OctSun1+27)</f>
        <v>46318</v>
      </c>
      <c r="I6" s="47">
        <f>IF(DAY(OctSun1)=1,OctSun1+21,OctSun1+28)</f>
        <v>46319</v>
      </c>
      <c r="J6" s="47"/>
      <c r="K6" s="47"/>
      <c r="L6" s="10"/>
      <c r="M6" s="11"/>
      <c r="O6" s="54"/>
    </row>
    <row r="7" spans="1:15" ht="30" customHeight="1">
      <c r="A7" s="7"/>
      <c r="C7" s="47">
        <f>IF(DAY(OctSun1)=1,OctSun1+22,OctSun1+29)</f>
        <v>46320</v>
      </c>
      <c r="D7" s="47">
        <f>IF(DAY(OctSun1)=1,OctSun1+23,OctSun1+30)</f>
        <v>46321</v>
      </c>
      <c r="E7" s="47">
        <f>IF(DAY(OctSun1)=1,OctSun1+24,OctSun1+31)</f>
        <v>46322</v>
      </c>
      <c r="F7" s="47">
        <f>IF(DAY(OctSun1)=1,OctSun1+25,OctSun1+32)</f>
        <v>46323</v>
      </c>
      <c r="G7" s="47">
        <f>IF(DAY(OctSun1)=1,OctSun1+26,OctSun1+33)</f>
        <v>46324</v>
      </c>
      <c r="H7" s="47">
        <f>IF(DAY(OctSun1)=1,OctSun1+27,OctSun1+34)</f>
        <v>46325</v>
      </c>
      <c r="I7" s="47">
        <f>IF(DAY(OctSun1)=1,OctSun1+28,OctSun1+35)</f>
        <v>46326</v>
      </c>
      <c r="J7" s="47"/>
      <c r="K7" s="47"/>
      <c r="L7" s="36"/>
      <c r="M7" s="37"/>
      <c r="N7" s="26"/>
      <c r="O7" s="54"/>
    </row>
    <row r="8" spans="1:15" ht="30" customHeight="1">
      <c r="A8" s="7"/>
      <c r="B8" s="15"/>
      <c r="C8" s="47">
        <f>IF(DAY(OctSun1)=1,OctSun1+29,OctSun1+36)</f>
        <v>46327</v>
      </c>
      <c r="D8" s="47">
        <f>IF(DAY(OctSun1)=1,OctSun1+30,OctSun1+37)</f>
        <v>46328</v>
      </c>
      <c r="E8" s="47">
        <f>IF(DAY(OctSun1)=1,OctSun1+31,OctSun1+38)</f>
        <v>46329</v>
      </c>
      <c r="F8" s="47">
        <f>IF(DAY(OctSun1)=1,OctSun1+32,OctSun1+39)</f>
        <v>46330</v>
      </c>
      <c r="G8" s="47">
        <f>IF(DAY(OctSun1)=1,OctSun1+33,OctSun1+40)</f>
        <v>46331</v>
      </c>
      <c r="H8" s="47">
        <f>IF(DAY(OctSun1)=1,OctSun1+34,OctSun1+41)</f>
        <v>46332</v>
      </c>
      <c r="I8" s="47">
        <f>IF(DAY(OctSun1)=1,OctSun1+35,OctSun1+42)</f>
        <v>46333</v>
      </c>
      <c r="J8" s="47"/>
      <c r="K8" s="47"/>
      <c r="L8" s="10" t="s">
        <v>14</v>
      </c>
      <c r="M8" s="35"/>
      <c r="O8" s="54"/>
    </row>
    <row r="9" spans="1:15" ht="30" customHeight="1">
      <c r="A9" s="7"/>
      <c r="C9" s="31"/>
      <c r="D9" s="31"/>
      <c r="E9" s="31"/>
      <c r="F9" s="31"/>
      <c r="G9" s="31"/>
      <c r="H9" s="31"/>
      <c r="I9" s="31"/>
      <c r="J9" s="31"/>
      <c r="K9" s="31"/>
      <c r="L9" s="10"/>
      <c r="M9" s="11"/>
      <c r="O9" s="54"/>
    </row>
    <row r="10" spans="1:15" ht="30" customHeight="1">
      <c r="A10" s="7"/>
      <c r="B10" s="16" t="s">
        <v>42</v>
      </c>
      <c r="C10" s="17"/>
      <c r="D10" s="17"/>
      <c r="E10" s="17"/>
      <c r="F10" s="17"/>
      <c r="G10" s="17"/>
      <c r="H10" s="17"/>
      <c r="I10" s="17"/>
      <c r="J10" s="17"/>
      <c r="K10" s="17"/>
      <c r="L10" s="10"/>
      <c r="M10" s="11"/>
      <c r="O10" s="54"/>
    </row>
    <row r="11" spans="1:15" ht="30" customHeight="1">
      <c r="A11" s="18" t="s">
        <v>23</v>
      </c>
      <c r="B11" s="19" t="s">
        <v>5</v>
      </c>
      <c r="C11" s="76" t="s">
        <v>14</v>
      </c>
      <c r="D11" s="77"/>
      <c r="E11" s="76" t="s">
        <v>19</v>
      </c>
      <c r="F11" s="77"/>
      <c r="G11" s="76" t="s">
        <v>20</v>
      </c>
      <c r="H11" s="77"/>
      <c r="I11" s="75" t="s">
        <v>49</v>
      </c>
      <c r="J11" s="74" t="s">
        <v>47</v>
      </c>
      <c r="K11" s="20" t="s">
        <v>48</v>
      </c>
      <c r="L11" s="10"/>
      <c r="M11" s="11"/>
      <c r="O11" s="54"/>
    </row>
    <row r="12" spans="1:15" ht="30" customHeight="1">
      <c r="A12" s="18" t="s">
        <v>1</v>
      </c>
      <c r="B12" s="21"/>
      <c r="C12" s="82"/>
      <c r="D12" s="82"/>
      <c r="E12" s="82"/>
      <c r="F12" s="82"/>
      <c r="G12" s="82"/>
      <c r="H12" s="82"/>
      <c r="I12" s="32"/>
      <c r="J12" s="65"/>
      <c r="K12" s="65"/>
      <c r="L12" s="10"/>
      <c r="M12" s="11"/>
      <c r="O12" s="54"/>
    </row>
    <row r="13" spans="1:15" ht="30" customHeight="1">
      <c r="A13" s="18" t="s">
        <v>2</v>
      </c>
      <c r="B13" s="23"/>
      <c r="C13" s="79"/>
      <c r="D13" s="79"/>
      <c r="E13" s="79"/>
      <c r="F13" s="79"/>
      <c r="G13" s="79"/>
      <c r="H13" s="79"/>
      <c r="I13" s="23"/>
      <c r="J13" s="49"/>
      <c r="K13" s="49"/>
      <c r="L13" s="36"/>
      <c r="M13" s="37"/>
      <c r="N13" s="26"/>
      <c r="O13" s="54"/>
    </row>
    <row r="14" spans="1:15" ht="30" customHeight="1">
      <c r="A14" s="18" t="s">
        <v>1</v>
      </c>
      <c r="B14" s="21"/>
      <c r="C14" s="82"/>
      <c r="D14" s="82"/>
      <c r="E14" s="82"/>
      <c r="F14" s="82"/>
      <c r="G14" s="82"/>
      <c r="H14" s="82"/>
      <c r="I14" s="32"/>
      <c r="J14" s="65"/>
      <c r="K14" s="65"/>
      <c r="L14" s="10" t="s">
        <v>19</v>
      </c>
      <c r="M14" s="35"/>
      <c r="O14" s="54"/>
    </row>
    <row r="15" spans="1:15" ht="30" customHeight="1">
      <c r="A15" s="18" t="s">
        <v>2</v>
      </c>
      <c r="B15" s="23"/>
      <c r="C15" s="79"/>
      <c r="D15" s="79"/>
      <c r="E15" s="79"/>
      <c r="F15" s="79"/>
      <c r="G15" s="79"/>
      <c r="H15" s="79"/>
      <c r="I15" s="23"/>
      <c r="J15" s="49"/>
      <c r="K15" s="49"/>
      <c r="L15" s="10"/>
      <c r="M15" s="11"/>
      <c r="O15" s="54"/>
    </row>
    <row r="16" spans="1:15" ht="30" customHeight="1">
      <c r="A16" s="18" t="s">
        <v>1</v>
      </c>
      <c r="B16" s="21"/>
      <c r="C16" s="82"/>
      <c r="D16" s="82"/>
      <c r="E16" s="82"/>
      <c r="F16" s="82"/>
      <c r="G16" s="82"/>
      <c r="H16" s="82"/>
      <c r="I16" s="33"/>
      <c r="J16" s="65"/>
      <c r="K16" s="65"/>
      <c r="L16" s="10"/>
      <c r="M16" s="11"/>
      <c r="O16" s="54"/>
    </row>
    <row r="17" spans="1:15" ht="30" customHeight="1">
      <c r="A17" s="18" t="s">
        <v>2</v>
      </c>
      <c r="B17" s="23"/>
      <c r="C17" s="79"/>
      <c r="D17" s="79"/>
      <c r="E17" s="79"/>
      <c r="F17" s="79"/>
      <c r="G17" s="79"/>
      <c r="H17" s="79"/>
      <c r="I17" s="23"/>
      <c r="J17" s="49"/>
      <c r="K17" s="49"/>
      <c r="L17" s="10"/>
      <c r="M17" s="11"/>
      <c r="O17" s="54"/>
    </row>
    <row r="18" spans="1:15" ht="30" customHeight="1">
      <c r="A18" s="18" t="s">
        <v>1</v>
      </c>
      <c r="B18" s="21"/>
      <c r="C18" s="82"/>
      <c r="D18" s="82"/>
      <c r="E18" s="82"/>
      <c r="F18" s="82"/>
      <c r="G18" s="82"/>
      <c r="H18" s="82"/>
      <c r="I18" s="32"/>
      <c r="J18" s="65"/>
      <c r="K18" s="65"/>
      <c r="L18" s="10"/>
      <c r="M18" s="11"/>
      <c r="O18" s="54"/>
    </row>
    <row r="19" spans="1:15" ht="30" customHeight="1">
      <c r="A19" s="18" t="s">
        <v>2</v>
      </c>
      <c r="B19" s="23"/>
      <c r="C19" s="79"/>
      <c r="D19" s="79"/>
      <c r="E19" s="79"/>
      <c r="F19" s="79"/>
      <c r="G19" s="79"/>
      <c r="H19" s="79"/>
      <c r="I19" s="34"/>
      <c r="J19" s="34"/>
      <c r="K19" s="34"/>
      <c r="L19" s="36"/>
      <c r="M19" s="37"/>
      <c r="N19" s="38"/>
      <c r="O19" s="54"/>
    </row>
    <row r="20" spans="1:15" ht="30" customHeight="1">
      <c r="A20" s="18" t="s">
        <v>1</v>
      </c>
      <c r="B20" s="21"/>
      <c r="C20" s="82"/>
      <c r="D20" s="82"/>
      <c r="E20" s="82"/>
      <c r="F20" s="82"/>
      <c r="G20" s="82"/>
      <c r="H20" s="82"/>
      <c r="I20" s="32"/>
      <c r="J20" s="65"/>
      <c r="K20" s="65"/>
      <c r="L20" s="10" t="s">
        <v>20</v>
      </c>
      <c r="M20" s="35"/>
      <c r="O20" s="54"/>
    </row>
    <row r="21" spans="1:15" ht="30" customHeight="1">
      <c r="A21" s="18" t="s">
        <v>2</v>
      </c>
      <c r="B21" s="23"/>
      <c r="C21" s="79"/>
      <c r="D21" s="79"/>
      <c r="E21" s="79"/>
      <c r="F21" s="79"/>
      <c r="G21" s="79"/>
      <c r="H21" s="79"/>
      <c r="I21" s="23"/>
      <c r="J21" s="49"/>
      <c r="K21" s="49"/>
      <c r="L21" s="10"/>
      <c r="M21" s="11"/>
      <c r="O21" s="54"/>
    </row>
    <row r="22" spans="1:15" ht="30" customHeight="1">
      <c r="A22" s="18" t="s">
        <v>1</v>
      </c>
      <c r="B22" s="21"/>
      <c r="C22" s="82"/>
      <c r="D22" s="82"/>
      <c r="E22" s="82"/>
      <c r="F22" s="82"/>
      <c r="G22" s="82"/>
      <c r="H22" s="82"/>
      <c r="I22" s="32"/>
      <c r="J22" s="65"/>
      <c r="K22" s="65"/>
      <c r="L22" s="10"/>
      <c r="M22" s="11"/>
      <c r="O22" s="54"/>
    </row>
    <row r="23" spans="1:15" ht="30" customHeight="1">
      <c r="A23" s="18" t="s">
        <v>2</v>
      </c>
      <c r="B23" s="23"/>
      <c r="C23" s="79"/>
      <c r="D23" s="79"/>
      <c r="E23" s="79"/>
      <c r="F23" s="79"/>
      <c r="G23" s="79"/>
      <c r="H23" s="79"/>
      <c r="I23" s="23"/>
      <c r="J23" s="49"/>
      <c r="K23" s="49"/>
      <c r="L23" s="10"/>
      <c r="M23" s="11"/>
      <c r="O23" s="54"/>
    </row>
    <row r="24" spans="1:15" ht="30" customHeight="1">
      <c r="A24" s="18" t="s">
        <v>1</v>
      </c>
      <c r="B24" s="21"/>
      <c r="C24" s="82"/>
      <c r="D24" s="82"/>
      <c r="E24" s="82"/>
      <c r="F24" s="82"/>
      <c r="G24" s="82"/>
      <c r="H24" s="82"/>
      <c r="I24" s="32"/>
      <c r="J24" s="65"/>
      <c r="K24" s="65"/>
      <c r="L24" s="10"/>
      <c r="M24" s="11"/>
      <c r="O24" s="54"/>
    </row>
    <row r="25" spans="1:15" ht="30" customHeight="1">
      <c r="A25" s="18" t="s">
        <v>2</v>
      </c>
      <c r="B25" s="23"/>
      <c r="C25" s="79"/>
      <c r="D25" s="79"/>
      <c r="E25" s="79"/>
      <c r="F25" s="79"/>
      <c r="G25" s="79"/>
      <c r="H25" s="79"/>
      <c r="I25" s="23"/>
      <c r="J25" s="49"/>
      <c r="K25" s="49"/>
      <c r="L25" s="36"/>
      <c r="M25" s="37"/>
      <c r="N25" s="38"/>
      <c r="O25" s="54"/>
    </row>
    <row r="26" spans="1:15" ht="30" customHeight="1">
      <c r="A26" s="18" t="s">
        <v>1</v>
      </c>
      <c r="B26" s="21"/>
      <c r="C26" s="82"/>
      <c r="D26" s="82"/>
      <c r="E26" s="82"/>
      <c r="F26" s="82"/>
      <c r="G26" s="82"/>
      <c r="H26" s="82"/>
      <c r="I26" s="32"/>
      <c r="J26" s="65"/>
      <c r="K26" s="65"/>
      <c r="L26" s="10" t="s">
        <v>21</v>
      </c>
      <c r="M26" s="35"/>
      <c r="O26" s="54"/>
    </row>
    <row r="27" spans="1:15" ht="30" customHeight="1">
      <c r="A27" s="18" t="s">
        <v>2</v>
      </c>
      <c r="B27" s="23"/>
      <c r="C27" s="79"/>
      <c r="D27" s="79"/>
      <c r="E27" s="79"/>
      <c r="F27" s="79"/>
      <c r="G27" s="79"/>
      <c r="H27" s="79"/>
      <c r="I27" s="23"/>
      <c r="J27" s="49"/>
      <c r="K27" s="49"/>
      <c r="L27" s="10"/>
      <c r="M27" s="11"/>
      <c r="O27" s="54"/>
    </row>
    <row r="28" spans="1:15" ht="30" customHeight="1">
      <c r="A28" s="18" t="s">
        <v>1</v>
      </c>
      <c r="B28" s="21"/>
      <c r="C28" s="82"/>
      <c r="D28" s="82"/>
      <c r="E28" s="82"/>
      <c r="F28" s="82"/>
      <c r="G28" s="82"/>
      <c r="H28" s="82"/>
      <c r="I28" s="32"/>
      <c r="J28" s="65"/>
      <c r="K28" s="65"/>
      <c r="L28" s="10"/>
      <c r="M28" s="11"/>
      <c r="O28" s="54"/>
    </row>
    <row r="29" spans="1:15" ht="30" customHeight="1">
      <c r="A29" s="18" t="s">
        <v>2</v>
      </c>
      <c r="B29" s="23"/>
      <c r="C29" s="79"/>
      <c r="D29" s="79"/>
      <c r="E29" s="79"/>
      <c r="F29" s="79"/>
      <c r="G29" s="79"/>
      <c r="H29" s="79"/>
      <c r="I29" s="23"/>
      <c r="J29" s="49"/>
      <c r="K29" s="49"/>
      <c r="L29" s="10"/>
      <c r="M29" s="11"/>
      <c r="O29" s="54"/>
    </row>
    <row r="30" spans="1:15" ht="30" customHeight="1">
      <c r="A30" s="18" t="s">
        <v>1</v>
      </c>
      <c r="B30" s="21"/>
      <c r="C30" s="82"/>
      <c r="D30" s="82"/>
      <c r="E30" s="82"/>
      <c r="F30" s="82"/>
      <c r="G30" s="82"/>
      <c r="H30" s="82"/>
      <c r="I30" s="32"/>
      <c r="J30" s="65"/>
      <c r="K30" s="65"/>
      <c r="L30" s="10"/>
      <c r="M30" s="11"/>
      <c r="O30" s="54"/>
    </row>
    <row r="31" spans="1:15" ht="30" customHeight="1">
      <c r="A31" s="18" t="s">
        <v>2</v>
      </c>
      <c r="B31" s="27"/>
      <c r="C31" s="80"/>
      <c r="D31" s="80"/>
      <c r="E31" s="80"/>
      <c r="F31" s="80"/>
      <c r="G31" s="80"/>
      <c r="H31" s="80"/>
      <c r="I31" s="27"/>
      <c r="J31" s="72"/>
      <c r="K31" s="72"/>
      <c r="L31" s="10"/>
      <c r="M31" s="63"/>
      <c r="N31" s="40"/>
      <c r="O31" s="54"/>
    </row>
    <row r="32" spans="1:15" ht="30" customHeight="1">
      <c r="L32" s="66" t="s">
        <v>47</v>
      </c>
      <c r="M32" s="67"/>
      <c r="N32" s="56"/>
    </row>
    <row r="33" spans="12:14" ht="30" customHeight="1">
      <c r="L33" s="10"/>
      <c r="M33" s="11"/>
    </row>
    <row r="34" spans="12:14" ht="30" customHeight="1">
      <c r="L34" s="10"/>
      <c r="M34" s="11"/>
    </row>
    <row r="35" spans="12:14" ht="30" customHeight="1">
      <c r="L35" s="10"/>
      <c r="M35" s="11"/>
    </row>
    <row r="36" spans="12:14" ht="30" customHeight="1">
      <c r="L36" s="10"/>
      <c r="M36" s="11"/>
    </row>
    <row r="37" spans="12:14" ht="30" customHeight="1">
      <c r="L37" s="62"/>
      <c r="M37" s="63"/>
      <c r="N37" s="69"/>
    </row>
    <row r="38" spans="12:14" ht="30" customHeight="1">
      <c r="L38" s="66" t="s">
        <v>48</v>
      </c>
      <c r="M38" s="67"/>
      <c r="N38" s="56"/>
    </row>
    <row r="39" spans="12:14" ht="30" customHeight="1">
      <c r="L39" s="10"/>
      <c r="M39" s="11"/>
    </row>
    <row r="40" spans="12:14" ht="30" customHeight="1">
      <c r="L40" s="10"/>
      <c r="M40" s="11"/>
    </row>
    <row r="41" spans="12:14" ht="30" customHeight="1">
      <c r="L41" s="10"/>
      <c r="M41" s="11"/>
    </row>
    <row r="42" spans="12:14" ht="30" customHeight="1">
      <c r="L42" s="10"/>
      <c r="M42" s="11"/>
    </row>
    <row r="43" spans="12:14" ht="30" customHeight="1">
      <c r="L43" s="62"/>
      <c r="M43" s="63"/>
      <c r="N43" s="69"/>
    </row>
  </sheetData>
  <mergeCells count="63">
    <mergeCell ref="C31:D31"/>
    <mergeCell ref="E31:F31"/>
    <mergeCell ref="G31:H31"/>
    <mergeCell ref="C29:D29"/>
    <mergeCell ref="E29:F29"/>
    <mergeCell ref="G29:H29"/>
    <mergeCell ref="C30:D30"/>
    <mergeCell ref="E30:F30"/>
    <mergeCell ref="G30:H30"/>
    <mergeCell ref="C27:D27"/>
    <mergeCell ref="E27:F27"/>
    <mergeCell ref="G27:H27"/>
    <mergeCell ref="C28:D28"/>
    <mergeCell ref="E28:F28"/>
    <mergeCell ref="G28:H28"/>
    <mergeCell ref="C25:D25"/>
    <mergeCell ref="E25:F25"/>
    <mergeCell ref="G25:H25"/>
    <mergeCell ref="C26:D26"/>
    <mergeCell ref="E26:F26"/>
    <mergeCell ref="G26:H26"/>
    <mergeCell ref="C23:D23"/>
    <mergeCell ref="E23:F23"/>
    <mergeCell ref="G23:H23"/>
    <mergeCell ref="C24:D24"/>
    <mergeCell ref="E24:F24"/>
    <mergeCell ref="G24:H24"/>
    <mergeCell ref="C21:D21"/>
    <mergeCell ref="E21:F21"/>
    <mergeCell ref="G21:H21"/>
    <mergeCell ref="C22:D22"/>
    <mergeCell ref="E22:F22"/>
    <mergeCell ref="G22:H22"/>
    <mergeCell ref="C19:D19"/>
    <mergeCell ref="E19:F19"/>
    <mergeCell ref="G19:H19"/>
    <mergeCell ref="C20:D20"/>
    <mergeCell ref="E20:F20"/>
    <mergeCell ref="G20:H20"/>
    <mergeCell ref="C17:D17"/>
    <mergeCell ref="E17:F17"/>
    <mergeCell ref="G17:H17"/>
    <mergeCell ref="C18:D18"/>
    <mergeCell ref="E18:F18"/>
    <mergeCell ref="G18:H18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C11:D11"/>
    <mergeCell ref="E11:F11"/>
    <mergeCell ref="G11:H11"/>
    <mergeCell ref="C12:D12"/>
    <mergeCell ref="E12:F12"/>
    <mergeCell ref="G12:H12"/>
  </mergeCells>
  <phoneticPr fontId="31" type="noConversion"/>
  <conditionalFormatting sqref="B12:K12 B14:K14 B16:K16 B18:K18 B20:K20 B22:K22 B24:K24 B26:K26 B28:K28 B30:K30">
    <cfRule type="expression" dxfId="64" priority="5">
      <formula>B12&lt;&gt;""</formula>
    </cfRule>
  </conditionalFormatting>
  <conditionalFormatting sqref="B12:K31">
    <cfRule type="expression" dxfId="63" priority="1">
      <formula>COLUMN(B12)&gt;2</formula>
    </cfRule>
  </conditionalFormatting>
  <conditionalFormatting sqref="B13:K13 B15:K15 B17:K17 B19:K19 B21:K21 B23:K23 B25:K25 B27:K27 B29:K29 B31:K31">
    <cfRule type="expression" dxfId="62" priority="6">
      <formula>B13&lt;&gt;""</formula>
    </cfRule>
  </conditionalFormatting>
  <conditionalFormatting sqref="B13:K13 B15:K15 B17:K17 B19:K19 B21:K21 B23:K23 B25:K25 B27:K27 B29:K29">
    <cfRule type="expression" dxfId="61" priority="2">
      <formula>COLUMN(B13)&gt;=2</formula>
    </cfRule>
    <cfRule type="expression" dxfId="60" priority="4">
      <formula>COLUMN(B11)&gt;2</formula>
    </cfRule>
  </conditionalFormatting>
  <conditionalFormatting sqref="B31:K31">
    <cfRule type="expression" dxfId="59" priority="3">
      <formula>COLUMN(B12)&gt;2</formula>
    </cfRule>
  </conditionalFormatting>
  <conditionalFormatting sqref="C3:H3">
    <cfRule type="expression" dxfId="58" priority="8" stopIfTrue="1">
      <formula>DAY(C3)&gt;8</formula>
    </cfRule>
  </conditionalFormatting>
  <conditionalFormatting sqref="C3:K8">
    <cfRule type="expression" dxfId="57" priority="9">
      <formula>VLOOKUP(DAY(C3),作業日期,1,FALSE)=DAY(C3)</formula>
    </cfRule>
  </conditionalFormatting>
  <conditionalFormatting sqref="C7:K8">
    <cfRule type="expression" dxfId="56" priority="7" stopIfTrue="1">
      <formula>AND(DAY(C7)&gt;=1,DAY(C7)&lt;=15)</formula>
    </cfRule>
  </conditionalFormatting>
  <dataValidations count="13">
    <dataValidation allowBlank="1" showInputMessage="1" showErrorMessage="1" prompt="10 月行事曆會自動醒目提示當月的作業清單項目。較深色的字型表示該日期有作業。較淺色的字型表示屬於上個月或下個月的日期" sqref="B2" xr:uid="{00000000-0002-0000-0900-000000000000}"/>
    <dataValidation allowBlank="1" showInputMessage="1" showErrorMessage="1" prompt="行事曆年份會自動更新。若要變更年份，請更新 [1 月] 工作表中的儲存格 B1" sqref="B1" xr:uid="{00000000-0002-0000-0900-000001000000}"/>
    <dataValidation allowBlank="1" showInputMessage="1" showErrorMessage="1" prompt="在此工作表中排定每週課表與建立作業清單。在 [1 月] 工作表的儲存格 B1 中輸入之年份的每月行事曆中，會自動醒目提示相關作業" sqref="A1" xr:uid="{00000000-0002-0000-0900-000002000000}"/>
    <dataValidation allowBlank="1" showInputMessage="1" showErrorMessage="1" prompt="儲存格 C2:I2 包含工作日" sqref="C2:D2" xr:uid="{60685647-5D31-4E93-98FF-A2F6E59C2E2B}"/>
    <dataValidation allowBlank="1" showInputMessage="1" showErrorMessage="1" prompt="如果此儲存格中沒有數字 1，就表示它是上個月的日期。儲存格 C3:I8 包含當月的日期" sqref="C3" xr:uid="{00000000-0002-0000-0900-000004000000}"/>
    <dataValidation allowBlank="1" showInputMessage="1" showErrorMessage="1" prompt="如果此列中的數字小於前面的數字或前一列的數字，則此列會包含下個行事曆月份的日期" sqref="C8" xr:uid="{00000000-0002-0000-0900-000005000000}"/>
    <dataValidation allowBlank="1" showInputMessage="1" showErrorMessage="1" prompt="在此列的欄 B 到欄 I 中輸入時間" sqref="B12" xr:uid="{00000000-0002-0000-0900-000006000000}"/>
    <dataValidation allowBlank="1" showInputMessage="1" showErrorMessage="1" prompt="在此列的欄 B 到欄 I 中輸入課程" sqref="B13" xr:uid="{00000000-0002-0000-0900-000007000000}"/>
    <dataValidation allowBlank="1" showInputMessage="1" showErrorMessage="1" prompt="此欄依星期幾分組，每組包含 6 個列，用於記錄當月依每個星期幾分組的作業。插入新列即可新增更多作業。左側的行事曆會醒目提示相關項目" sqref="L1" xr:uid="{00000000-0002-0000-0900-000008000000}"/>
    <dataValidation allowBlank="1" showInputMessage="1" showErrorMessage="1" prompt="在此欄中輸入與左側行事曆月份欄 J 中的星期幾以及欄 K 中的日期相對應的作業詳細資料" sqref="N1:O1" xr:uid="{00000000-0002-0000-0900-000009000000}"/>
    <dataValidation allowBlank="1" showInputMessage="1" showErrorMessage="1" prompt="在此欄中輸入與欄 J 中的星期幾相對應的當月作業日期。左側行事曆中的這個日期會醒目提示相關作業" sqref="M1" xr:uid="{00000000-0002-0000-0900-00000A000000}"/>
    <dataValidation allowBlank="1" showInputMessage="1" showErrorMessage="1" prompt="此列為星期幾，包括星期一到星期五" sqref="B11" xr:uid="{00000000-0002-0000-0900-00000B000000}"/>
    <dataValidation allowBlank="1" showInputMessage="1" showErrorMessage="1" prompt="輸入課程的時間，並在底下新列中的欄 B 到欄 I 的每個星期幾中輸入課程名稱。在後續各列中，針對所有課程重複此輸入方式" sqref="B10" xr:uid="{00000000-0002-0000-0900-00000C000000}"/>
  </dataValidations>
  <printOptions horizontalCentered="1" verticalCentered="1"/>
  <pageMargins left="0.5" right="0.5" top="0.5" bottom="0.5" header="0.3" footer="0.3"/>
  <pageSetup paperSize="9" scale="56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  <pageSetUpPr fitToPage="1"/>
  </sheetPr>
  <dimension ref="A1:O43"/>
  <sheetViews>
    <sheetView showGridLines="0" topLeftCell="A2" zoomScale="78" zoomScaleNormal="78" zoomScalePageLayoutView="84" workbookViewId="0">
      <selection activeCell="J10" sqref="J10"/>
    </sheetView>
  </sheetViews>
  <sheetFormatPr defaultColWidth="8.796875" defaultRowHeight="30" customHeight="1"/>
  <cols>
    <col min="1" max="1" width="2.796875" style="4" customWidth="1"/>
    <col min="2" max="2" width="20.796875" style="1" customWidth="1"/>
    <col min="3" max="8" width="10.796875" style="4" customWidth="1"/>
    <col min="9" max="11" width="20.796875" style="4" customWidth="1"/>
    <col min="12" max="12" width="10.796875" style="1" customWidth="1"/>
    <col min="13" max="13" width="10.796875" style="4" customWidth="1"/>
    <col min="14" max="14" width="70.796875" style="4" customWidth="1"/>
    <col min="15" max="15" width="79.3984375" style="57" customWidth="1"/>
    <col min="16" max="16384" width="8.796875" style="4"/>
  </cols>
  <sheetData>
    <row r="1" spans="1:15" ht="30" customHeight="1">
      <c r="A1" s="1"/>
      <c r="B1" s="29">
        <f>_xlfn.SINGLE(行事曆年份)</f>
        <v>2026</v>
      </c>
      <c r="L1" s="5" t="s">
        <v>23</v>
      </c>
      <c r="M1" s="5" t="s">
        <v>24</v>
      </c>
      <c r="N1" s="6" t="s">
        <v>41</v>
      </c>
      <c r="O1" s="59" t="s">
        <v>45</v>
      </c>
    </row>
    <row r="2" spans="1:15" ht="30" customHeight="1">
      <c r="A2" s="7"/>
      <c r="B2" s="30" t="s">
        <v>39</v>
      </c>
      <c r="C2" s="9" t="s">
        <v>13</v>
      </c>
      <c r="D2" s="9" t="s">
        <v>5</v>
      </c>
      <c r="E2" s="9" t="s">
        <v>14</v>
      </c>
      <c r="F2" s="9" t="s">
        <v>19</v>
      </c>
      <c r="G2" s="9" t="s">
        <v>20</v>
      </c>
      <c r="H2" s="9" t="s">
        <v>21</v>
      </c>
      <c r="I2" s="9" t="s">
        <v>22</v>
      </c>
      <c r="J2" s="9"/>
      <c r="K2" s="9"/>
      <c r="L2" s="10" t="s">
        <v>5</v>
      </c>
      <c r="M2" s="35"/>
      <c r="O2" s="54"/>
    </row>
    <row r="3" spans="1:15" ht="30" customHeight="1">
      <c r="A3" s="7"/>
      <c r="C3" s="47">
        <f>IF(DAY(NovSun1)=1,NovSun1-6,NovSun1+1)</f>
        <v>46327</v>
      </c>
      <c r="D3" s="47">
        <f>IF(DAY(NovSun1)=1,NovSun1-5,NovSun1+2)</f>
        <v>46328</v>
      </c>
      <c r="E3" s="47">
        <f>IF(DAY(NovSun1)=1,NovSun1-4,NovSun1+3)</f>
        <v>46329</v>
      </c>
      <c r="F3" s="47">
        <f>IF(DAY(NovSun1)=1,NovSun1-3,NovSun1+4)</f>
        <v>46330</v>
      </c>
      <c r="G3" s="47">
        <f>IF(DAY(NovSun1)=1,NovSun1-2,NovSun1+5)</f>
        <v>46331</v>
      </c>
      <c r="H3" s="47">
        <f>IF(DAY(NovSun1)=1,NovSun1-1,NovSun1+6)</f>
        <v>46332</v>
      </c>
      <c r="I3" s="47">
        <f>IF(DAY(NovSun1)=1,NovSun1,NovSun1+7)</f>
        <v>46333</v>
      </c>
      <c r="J3" s="47"/>
      <c r="K3" s="47"/>
      <c r="L3" s="10"/>
      <c r="M3" s="11"/>
      <c r="O3" s="54"/>
    </row>
    <row r="4" spans="1:15" ht="30" customHeight="1">
      <c r="A4" s="7"/>
      <c r="C4" s="47">
        <f>IF(DAY(NovSun1)=1,NovSun1+1,NovSun1+8)</f>
        <v>46334</v>
      </c>
      <c r="D4" s="47">
        <f>IF(DAY(NovSun1)=1,NovSun1+2,NovSun1+9)</f>
        <v>46335</v>
      </c>
      <c r="E4" s="47">
        <f>IF(DAY(NovSun1)=1,NovSun1+3,NovSun1+10)</f>
        <v>46336</v>
      </c>
      <c r="F4" s="47">
        <f>IF(DAY(NovSun1)=1,NovSun1+4,NovSun1+11)</f>
        <v>46337</v>
      </c>
      <c r="G4" s="47">
        <f>IF(DAY(NovSun1)=1,NovSun1+5,NovSun1+12)</f>
        <v>46338</v>
      </c>
      <c r="H4" s="47">
        <f>IF(DAY(NovSun1)=1,NovSun1+6,NovSun1+13)</f>
        <v>46339</v>
      </c>
      <c r="I4" s="47">
        <f>IF(DAY(NovSun1)=1,NovSun1+7,NovSun1+14)</f>
        <v>46340</v>
      </c>
      <c r="J4" s="47"/>
      <c r="K4" s="47"/>
      <c r="L4" s="10"/>
      <c r="M4" s="11"/>
      <c r="O4" s="54"/>
    </row>
    <row r="5" spans="1:15" ht="30" customHeight="1">
      <c r="A5" s="7"/>
      <c r="C5" s="47">
        <f>IF(DAY(NovSun1)=1,NovSun1+8,NovSun1+15)</f>
        <v>46341</v>
      </c>
      <c r="D5" s="47">
        <f>IF(DAY(NovSun1)=1,NovSun1+9,NovSun1+16)</f>
        <v>46342</v>
      </c>
      <c r="E5" s="47">
        <f>IF(DAY(NovSun1)=1,NovSun1+10,NovSun1+17)</f>
        <v>46343</v>
      </c>
      <c r="F5" s="47">
        <f>IF(DAY(NovSun1)=1,NovSun1+11,NovSun1+18)</f>
        <v>46344</v>
      </c>
      <c r="G5" s="47">
        <f>IF(DAY(NovSun1)=1,NovSun1+12,NovSun1+19)</f>
        <v>46345</v>
      </c>
      <c r="H5" s="47">
        <f>IF(DAY(NovSun1)=1,NovSun1+13,NovSun1+20)</f>
        <v>46346</v>
      </c>
      <c r="I5" s="47">
        <f>IF(DAY(NovSun1)=1,NovSun1+14,NovSun1+21)</f>
        <v>46347</v>
      </c>
      <c r="J5" s="47"/>
      <c r="K5" s="47"/>
      <c r="L5" s="10"/>
      <c r="M5" s="11"/>
      <c r="O5" s="54"/>
    </row>
    <row r="6" spans="1:15" ht="30" customHeight="1">
      <c r="A6" s="7"/>
      <c r="C6" s="47">
        <f>IF(DAY(NovSun1)=1,NovSun1+15,NovSun1+22)</f>
        <v>46348</v>
      </c>
      <c r="D6" s="47">
        <f>IF(DAY(NovSun1)=1,NovSun1+16,NovSun1+23)</f>
        <v>46349</v>
      </c>
      <c r="E6" s="47">
        <f>IF(DAY(NovSun1)=1,NovSun1+17,NovSun1+24)</f>
        <v>46350</v>
      </c>
      <c r="F6" s="47">
        <f>IF(DAY(NovSun1)=1,NovSun1+18,NovSun1+25)</f>
        <v>46351</v>
      </c>
      <c r="G6" s="47">
        <f>IF(DAY(NovSun1)=1,NovSun1+19,NovSun1+26)</f>
        <v>46352</v>
      </c>
      <c r="H6" s="47">
        <f>IF(DAY(NovSun1)=1,NovSun1+20,NovSun1+27)</f>
        <v>46353</v>
      </c>
      <c r="I6" s="47">
        <f>IF(DAY(NovSun1)=1,NovSun1+21,NovSun1+28)</f>
        <v>46354</v>
      </c>
      <c r="J6" s="47"/>
      <c r="K6" s="47"/>
      <c r="L6" s="10"/>
      <c r="M6" s="11"/>
      <c r="O6" s="54"/>
    </row>
    <row r="7" spans="1:15" ht="30" customHeight="1">
      <c r="A7" s="7"/>
      <c r="C7" s="47">
        <f>IF(DAY(NovSun1)=1,NovSun1+22,NovSun1+29)</f>
        <v>46355</v>
      </c>
      <c r="D7" s="47">
        <f>IF(DAY(NovSun1)=1,NovSun1+23,NovSun1+30)</f>
        <v>46356</v>
      </c>
      <c r="E7" s="47">
        <f>IF(DAY(NovSun1)=1,NovSun1+24,NovSun1+31)</f>
        <v>46357</v>
      </c>
      <c r="F7" s="47">
        <f>IF(DAY(NovSun1)=1,NovSun1+25,NovSun1+32)</f>
        <v>46358</v>
      </c>
      <c r="G7" s="47">
        <f>IF(DAY(NovSun1)=1,NovSun1+26,NovSun1+33)</f>
        <v>46359</v>
      </c>
      <c r="H7" s="47">
        <f>IF(DAY(NovSun1)=1,NovSun1+27,NovSun1+34)</f>
        <v>46360</v>
      </c>
      <c r="I7" s="47">
        <f>IF(DAY(NovSun1)=1,NovSun1+28,NovSun1+35)</f>
        <v>46361</v>
      </c>
      <c r="J7" s="47"/>
      <c r="K7" s="47"/>
      <c r="L7" s="36"/>
      <c r="M7" s="37"/>
      <c r="N7" s="26"/>
      <c r="O7" s="54"/>
    </row>
    <row r="8" spans="1:15" ht="30" customHeight="1">
      <c r="A8" s="7"/>
      <c r="B8" s="15"/>
      <c r="C8" s="47">
        <f>IF(DAY(NovSun1)=1,NovSun1+29,NovSun1+36)</f>
        <v>46362</v>
      </c>
      <c r="D8" s="47">
        <f>IF(DAY(NovSun1)=1,NovSun1+30,NovSun1+37)</f>
        <v>46363</v>
      </c>
      <c r="E8" s="47">
        <f>IF(DAY(NovSun1)=1,NovSun1+31,NovSun1+38)</f>
        <v>46364</v>
      </c>
      <c r="F8" s="47">
        <f>IF(DAY(NovSun1)=1,NovSun1+32,NovSun1+39)</f>
        <v>46365</v>
      </c>
      <c r="G8" s="47">
        <f>IF(DAY(NovSun1)=1,NovSun1+33,NovSun1+40)</f>
        <v>46366</v>
      </c>
      <c r="H8" s="47">
        <f>IF(DAY(NovSun1)=1,NovSun1+34,NovSun1+41)</f>
        <v>46367</v>
      </c>
      <c r="I8" s="47">
        <f>IF(DAY(NovSun1)=1,NovSun1+35,NovSun1+42)</f>
        <v>46368</v>
      </c>
      <c r="J8" s="47"/>
      <c r="K8" s="47"/>
      <c r="L8" s="10" t="s">
        <v>14</v>
      </c>
      <c r="M8" s="35"/>
      <c r="O8" s="54"/>
    </row>
    <row r="9" spans="1:15" ht="30" customHeight="1">
      <c r="A9" s="7"/>
      <c r="C9" s="31"/>
      <c r="D9" s="31"/>
      <c r="E9" s="31"/>
      <c r="F9" s="31"/>
      <c r="G9" s="31"/>
      <c r="H9" s="31"/>
      <c r="I9" s="31"/>
      <c r="J9" s="31"/>
      <c r="K9" s="31"/>
      <c r="L9" s="10"/>
      <c r="M9" s="11"/>
      <c r="O9" s="54"/>
    </row>
    <row r="10" spans="1:15" ht="30" customHeight="1">
      <c r="A10" s="7"/>
      <c r="B10" s="16" t="s">
        <v>42</v>
      </c>
      <c r="C10" s="17"/>
      <c r="D10" s="17"/>
      <c r="E10" s="17"/>
      <c r="F10" s="17"/>
      <c r="G10" s="17"/>
      <c r="H10" s="17"/>
      <c r="I10" s="17"/>
      <c r="J10" s="17"/>
      <c r="K10" s="17"/>
      <c r="L10" s="10"/>
      <c r="M10" s="11"/>
      <c r="O10" s="54"/>
    </row>
    <row r="11" spans="1:15" ht="30" customHeight="1">
      <c r="A11" s="18" t="s">
        <v>23</v>
      </c>
      <c r="B11" s="19" t="s">
        <v>5</v>
      </c>
      <c r="C11" s="76" t="s">
        <v>14</v>
      </c>
      <c r="D11" s="77"/>
      <c r="E11" s="76" t="s">
        <v>19</v>
      </c>
      <c r="F11" s="77"/>
      <c r="G11" s="76" t="s">
        <v>20</v>
      </c>
      <c r="H11" s="83"/>
      <c r="I11" s="74" t="s">
        <v>49</v>
      </c>
      <c r="J11" s="75" t="s">
        <v>47</v>
      </c>
      <c r="K11" s="20" t="s">
        <v>48</v>
      </c>
      <c r="L11" s="10"/>
      <c r="M11" s="11"/>
      <c r="O11" s="54"/>
    </row>
    <row r="12" spans="1:15" ht="30" customHeight="1">
      <c r="A12" s="18" t="s">
        <v>1</v>
      </c>
      <c r="B12" s="21"/>
      <c r="C12" s="78"/>
      <c r="D12" s="78"/>
      <c r="E12" s="78"/>
      <c r="F12" s="78"/>
      <c r="G12" s="78"/>
      <c r="H12" s="78"/>
      <c r="I12" s="32"/>
      <c r="J12" s="65"/>
      <c r="K12" s="65"/>
      <c r="L12" s="10"/>
      <c r="M12" s="11"/>
      <c r="O12" s="54"/>
    </row>
    <row r="13" spans="1:15" ht="30" customHeight="1">
      <c r="A13" s="18" t="s">
        <v>2</v>
      </c>
      <c r="B13" s="23"/>
      <c r="C13" s="79"/>
      <c r="D13" s="79"/>
      <c r="E13" s="79"/>
      <c r="F13" s="79"/>
      <c r="G13" s="79"/>
      <c r="H13" s="79"/>
      <c r="I13" s="23"/>
      <c r="J13" s="49"/>
      <c r="K13" s="49"/>
      <c r="L13" s="36"/>
      <c r="M13" s="37"/>
      <c r="N13" s="26"/>
      <c r="O13" s="54"/>
    </row>
    <row r="14" spans="1:15" ht="30" customHeight="1">
      <c r="A14" s="18" t="s">
        <v>1</v>
      </c>
      <c r="B14" s="21"/>
      <c r="C14" s="78"/>
      <c r="D14" s="78"/>
      <c r="E14" s="78"/>
      <c r="F14" s="78"/>
      <c r="G14" s="78"/>
      <c r="H14" s="78"/>
      <c r="I14" s="32"/>
      <c r="J14" s="65"/>
      <c r="K14" s="65"/>
      <c r="L14" s="10" t="s">
        <v>19</v>
      </c>
      <c r="M14" s="35"/>
      <c r="O14" s="54"/>
    </row>
    <row r="15" spans="1:15" ht="30" customHeight="1">
      <c r="A15" s="18" t="s">
        <v>2</v>
      </c>
      <c r="B15" s="23"/>
      <c r="C15" s="79"/>
      <c r="D15" s="79"/>
      <c r="E15" s="79"/>
      <c r="F15" s="79"/>
      <c r="G15" s="79"/>
      <c r="H15" s="79"/>
      <c r="I15" s="23"/>
      <c r="J15" s="49"/>
      <c r="K15" s="49"/>
      <c r="L15" s="10"/>
      <c r="M15" s="11"/>
      <c r="O15" s="54"/>
    </row>
    <row r="16" spans="1:15" ht="30" customHeight="1">
      <c r="A16" s="18" t="s">
        <v>1</v>
      </c>
      <c r="B16" s="21"/>
      <c r="C16" s="78"/>
      <c r="D16" s="78"/>
      <c r="E16" s="78"/>
      <c r="F16" s="78"/>
      <c r="G16" s="78"/>
      <c r="H16" s="78"/>
      <c r="I16" s="33"/>
      <c r="J16" s="65"/>
      <c r="K16" s="65"/>
      <c r="L16" s="10"/>
      <c r="M16" s="11"/>
      <c r="O16" s="54"/>
    </row>
    <row r="17" spans="1:15" ht="30" customHeight="1">
      <c r="A17" s="18" t="s">
        <v>2</v>
      </c>
      <c r="B17" s="23"/>
      <c r="C17" s="79"/>
      <c r="D17" s="79"/>
      <c r="E17" s="79"/>
      <c r="F17" s="79"/>
      <c r="G17" s="79"/>
      <c r="H17" s="79"/>
      <c r="I17" s="23"/>
      <c r="J17" s="49"/>
      <c r="K17" s="49"/>
      <c r="L17" s="10"/>
      <c r="M17" s="11"/>
      <c r="O17" s="54"/>
    </row>
    <row r="18" spans="1:15" ht="30" customHeight="1">
      <c r="A18" s="18" t="s">
        <v>1</v>
      </c>
      <c r="B18" s="21"/>
      <c r="C18" s="78"/>
      <c r="D18" s="78"/>
      <c r="E18" s="78"/>
      <c r="F18" s="78"/>
      <c r="G18" s="78"/>
      <c r="H18" s="78"/>
      <c r="I18" s="32"/>
      <c r="J18" s="65"/>
      <c r="K18" s="65"/>
      <c r="L18" s="10"/>
      <c r="M18" s="11"/>
      <c r="O18" s="54"/>
    </row>
    <row r="19" spans="1:15" ht="30" customHeight="1">
      <c r="A19" s="18" t="s">
        <v>2</v>
      </c>
      <c r="B19" s="23"/>
      <c r="C19" s="79"/>
      <c r="D19" s="79"/>
      <c r="E19" s="79"/>
      <c r="F19" s="79"/>
      <c r="G19" s="79"/>
      <c r="H19" s="79"/>
      <c r="I19" s="34"/>
      <c r="J19" s="34"/>
      <c r="K19" s="34"/>
      <c r="L19" s="36"/>
      <c r="M19" s="37"/>
      <c r="N19" s="38"/>
      <c r="O19" s="54"/>
    </row>
    <row r="20" spans="1:15" ht="30" customHeight="1">
      <c r="A20" s="18" t="s">
        <v>1</v>
      </c>
      <c r="B20" s="21"/>
      <c r="C20" s="78"/>
      <c r="D20" s="78"/>
      <c r="E20" s="78"/>
      <c r="F20" s="78"/>
      <c r="G20" s="78"/>
      <c r="H20" s="78"/>
      <c r="I20" s="32"/>
      <c r="J20" s="65"/>
      <c r="K20" s="65"/>
      <c r="L20" s="10" t="s">
        <v>20</v>
      </c>
      <c r="M20" s="35"/>
      <c r="O20" s="54"/>
    </row>
    <row r="21" spans="1:15" ht="30" customHeight="1">
      <c r="A21" s="18" t="s">
        <v>2</v>
      </c>
      <c r="B21" s="23"/>
      <c r="C21" s="79"/>
      <c r="D21" s="79"/>
      <c r="E21" s="79"/>
      <c r="F21" s="79"/>
      <c r="G21" s="79"/>
      <c r="H21" s="79"/>
      <c r="I21" s="23"/>
      <c r="J21" s="49"/>
      <c r="K21" s="49"/>
      <c r="L21" s="10"/>
      <c r="M21" s="11"/>
      <c r="O21" s="54"/>
    </row>
    <row r="22" spans="1:15" ht="30" customHeight="1">
      <c r="A22" s="18" t="s">
        <v>1</v>
      </c>
      <c r="B22" s="21"/>
      <c r="C22" s="78"/>
      <c r="D22" s="78"/>
      <c r="E22" s="78"/>
      <c r="F22" s="78"/>
      <c r="G22" s="78"/>
      <c r="H22" s="78"/>
      <c r="I22" s="32"/>
      <c r="J22" s="65"/>
      <c r="K22" s="65"/>
      <c r="L22" s="10"/>
      <c r="M22" s="11"/>
      <c r="O22" s="54"/>
    </row>
    <row r="23" spans="1:15" ht="30" customHeight="1">
      <c r="A23" s="18" t="s">
        <v>2</v>
      </c>
      <c r="B23" s="23"/>
      <c r="C23" s="79"/>
      <c r="D23" s="79"/>
      <c r="E23" s="79"/>
      <c r="F23" s="79"/>
      <c r="G23" s="79"/>
      <c r="H23" s="79"/>
      <c r="I23" s="23"/>
      <c r="J23" s="49"/>
      <c r="K23" s="49"/>
      <c r="L23" s="10"/>
      <c r="M23" s="11"/>
      <c r="O23" s="54"/>
    </row>
    <row r="24" spans="1:15" ht="30" customHeight="1">
      <c r="A24" s="18" t="s">
        <v>1</v>
      </c>
      <c r="B24" s="21"/>
      <c r="C24" s="78"/>
      <c r="D24" s="78"/>
      <c r="E24" s="78"/>
      <c r="F24" s="78"/>
      <c r="G24" s="78"/>
      <c r="H24" s="78"/>
      <c r="I24" s="32"/>
      <c r="J24" s="65"/>
      <c r="K24" s="65"/>
      <c r="L24" s="10"/>
      <c r="M24" s="11"/>
      <c r="O24" s="54"/>
    </row>
    <row r="25" spans="1:15" ht="30" customHeight="1">
      <c r="A25" s="18" t="s">
        <v>2</v>
      </c>
      <c r="B25" s="23"/>
      <c r="C25" s="79"/>
      <c r="D25" s="79"/>
      <c r="E25" s="79"/>
      <c r="F25" s="79"/>
      <c r="G25" s="79"/>
      <c r="H25" s="79"/>
      <c r="I25" s="23"/>
      <c r="J25" s="49"/>
      <c r="K25" s="49"/>
      <c r="L25" s="36"/>
      <c r="M25" s="37"/>
      <c r="N25" s="38"/>
      <c r="O25" s="54"/>
    </row>
    <row r="26" spans="1:15" ht="30" customHeight="1">
      <c r="A26" s="18" t="s">
        <v>1</v>
      </c>
      <c r="B26" s="21"/>
      <c r="C26" s="78"/>
      <c r="D26" s="78"/>
      <c r="E26" s="78"/>
      <c r="F26" s="78"/>
      <c r="G26" s="78"/>
      <c r="H26" s="78"/>
      <c r="I26" s="32"/>
      <c r="J26" s="65"/>
      <c r="K26" s="65"/>
      <c r="L26" s="10" t="s">
        <v>21</v>
      </c>
      <c r="M26" s="35"/>
      <c r="O26" s="54"/>
    </row>
    <row r="27" spans="1:15" ht="30" customHeight="1">
      <c r="A27" s="18" t="s">
        <v>2</v>
      </c>
      <c r="B27" s="23"/>
      <c r="C27" s="79"/>
      <c r="D27" s="79"/>
      <c r="E27" s="79"/>
      <c r="F27" s="79"/>
      <c r="G27" s="79"/>
      <c r="H27" s="79"/>
      <c r="I27" s="23"/>
      <c r="J27" s="49"/>
      <c r="K27" s="49"/>
      <c r="L27" s="10"/>
      <c r="M27" s="11"/>
      <c r="O27" s="54"/>
    </row>
    <row r="28" spans="1:15" ht="30" customHeight="1">
      <c r="A28" s="18" t="s">
        <v>1</v>
      </c>
      <c r="B28" s="21"/>
      <c r="C28" s="78"/>
      <c r="D28" s="78"/>
      <c r="E28" s="78"/>
      <c r="F28" s="78"/>
      <c r="G28" s="78"/>
      <c r="H28" s="78"/>
      <c r="I28" s="32"/>
      <c r="J28" s="65"/>
      <c r="K28" s="65"/>
      <c r="L28" s="10"/>
      <c r="M28" s="11"/>
      <c r="O28" s="54"/>
    </row>
    <row r="29" spans="1:15" ht="30" customHeight="1">
      <c r="A29" s="18" t="s">
        <v>2</v>
      </c>
      <c r="B29" s="23"/>
      <c r="C29" s="79"/>
      <c r="D29" s="79"/>
      <c r="E29" s="79"/>
      <c r="F29" s="79"/>
      <c r="G29" s="79"/>
      <c r="H29" s="79"/>
      <c r="I29" s="23"/>
      <c r="J29" s="49"/>
      <c r="K29" s="49"/>
      <c r="L29" s="10"/>
      <c r="M29" s="11"/>
      <c r="O29" s="54"/>
    </row>
    <row r="30" spans="1:15" ht="30" customHeight="1">
      <c r="A30" s="18" t="s">
        <v>1</v>
      </c>
      <c r="B30" s="21"/>
      <c r="C30" s="78"/>
      <c r="D30" s="78"/>
      <c r="E30" s="78"/>
      <c r="F30" s="78"/>
      <c r="G30" s="78"/>
      <c r="H30" s="78"/>
      <c r="I30" s="32"/>
      <c r="J30" s="65"/>
      <c r="K30" s="65"/>
      <c r="L30" s="10"/>
      <c r="M30" s="11"/>
      <c r="O30" s="54"/>
    </row>
    <row r="31" spans="1:15" ht="30" customHeight="1">
      <c r="A31" s="18" t="s">
        <v>2</v>
      </c>
      <c r="B31" s="39"/>
      <c r="C31" s="81"/>
      <c r="D31" s="81"/>
      <c r="E31" s="81"/>
      <c r="F31" s="81"/>
      <c r="G31" s="81"/>
      <c r="H31" s="81"/>
      <c r="I31" s="39"/>
      <c r="J31" s="51"/>
      <c r="K31" s="51"/>
      <c r="L31" s="10"/>
      <c r="M31" s="63"/>
      <c r="N31" s="40"/>
      <c r="O31" s="54"/>
    </row>
    <row r="32" spans="1:15" ht="30" customHeight="1">
      <c r="L32" s="66" t="s">
        <v>47</v>
      </c>
      <c r="M32" s="67"/>
      <c r="N32" s="56"/>
    </row>
    <row r="33" spans="12:14" ht="30" customHeight="1">
      <c r="L33" s="10"/>
      <c r="M33" s="11"/>
    </row>
    <row r="34" spans="12:14" ht="30" customHeight="1">
      <c r="L34" s="10"/>
      <c r="M34" s="11"/>
    </row>
    <row r="35" spans="12:14" ht="30" customHeight="1">
      <c r="L35" s="10"/>
      <c r="M35" s="11"/>
    </row>
    <row r="36" spans="12:14" ht="30" customHeight="1">
      <c r="L36" s="10"/>
      <c r="M36" s="11"/>
    </row>
    <row r="37" spans="12:14" ht="30" customHeight="1">
      <c r="L37" s="62"/>
      <c r="M37" s="63"/>
      <c r="N37" s="69"/>
    </row>
    <row r="38" spans="12:14" ht="30" customHeight="1">
      <c r="L38" s="66" t="s">
        <v>48</v>
      </c>
      <c r="M38" s="67"/>
      <c r="N38" s="56"/>
    </row>
    <row r="39" spans="12:14" ht="30" customHeight="1">
      <c r="L39" s="10"/>
      <c r="M39" s="11"/>
    </row>
    <row r="40" spans="12:14" ht="30" customHeight="1">
      <c r="L40" s="10"/>
      <c r="M40" s="11"/>
    </row>
    <row r="41" spans="12:14" ht="30" customHeight="1">
      <c r="L41" s="10"/>
      <c r="M41" s="11"/>
    </row>
    <row r="42" spans="12:14" ht="30" customHeight="1">
      <c r="L42" s="10"/>
      <c r="M42" s="11"/>
    </row>
    <row r="43" spans="12:14" ht="30" customHeight="1">
      <c r="L43" s="62"/>
      <c r="M43" s="63"/>
      <c r="N43" s="69"/>
    </row>
  </sheetData>
  <mergeCells count="63">
    <mergeCell ref="C31:D31"/>
    <mergeCell ref="E31:F31"/>
    <mergeCell ref="G31:H31"/>
    <mergeCell ref="C29:D29"/>
    <mergeCell ref="E29:F29"/>
    <mergeCell ref="G29:H29"/>
    <mergeCell ref="C30:D30"/>
    <mergeCell ref="E30:F30"/>
    <mergeCell ref="G30:H30"/>
    <mergeCell ref="C27:D27"/>
    <mergeCell ref="E27:F27"/>
    <mergeCell ref="G27:H27"/>
    <mergeCell ref="C28:D28"/>
    <mergeCell ref="E28:F28"/>
    <mergeCell ref="G28:H28"/>
    <mergeCell ref="C25:D25"/>
    <mergeCell ref="E25:F25"/>
    <mergeCell ref="G25:H25"/>
    <mergeCell ref="C26:D26"/>
    <mergeCell ref="E26:F26"/>
    <mergeCell ref="G26:H26"/>
    <mergeCell ref="C23:D23"/>
    <mergeCell ref="E23:F23"/>
    <mergeCell ref="G23:H23"/>
    <mergeCell ref="C24:D24"/>
    <mergeCell ref="E24:F24"/>
    <mergeCell ref="G24:H24"/>
    <mergeCell ref="C21:D21"/>
    <mergeCell ref="E21:F21"/>
    <mergeCell ref="G21:H21"/>
    <mergeCell ref="C22:D22"/>
    <mergeCell ref="E22:F22"/>
    <mergeCell ref="G22:H22"/>
    <mergeCell ref="C19:D19"/>
    <mergeCell ref="E19:F19"/>
    <mergeCell ref="G19:H19"/>
    <mergeCell ref="C20:D20"/>
    <mergeCell ref="E20:F20"/>
    <mergeCell ref="G20:H20"/>
    <mergeCell ref="C17:D17"/>
    <mergeCell ref="E17:F17"/>
    <mergeCell ref="G17:H17"/>
    <mergeCell ref="C18:D18"/>
    <mergeCell ref="E18:F18"/>
    <mergeCell ref="G18:H18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C11:D11"/>
    <mergeCell ref="E11:F11"/>
    <mergeCell ref="G11:H11"/>
    <mergeCell ref="C12:D12"/>
    <mergeCell ref="E12:F12"/>
    <mergeCell ref="G12:H12"/>
  </mergeCells>
  <phoneticPr fontId="31" type="noConversion"/>
  <conditionalFormatting sqref="B12:K12 B14:K14 B16:K16 B18:K18 B20:K20 B22:K22 B24:K24 B26:K26 B28:K28 B30:K30">
    <cfRule type="expression" dxfId="55" priority="3">
      <formula>B12&lt;&gt;""</formula>
    </cfRule>
  </conditionalFormatting>
  <conditionalFormatting sqref="B12:K31">
    <cfRule type="expression" dxfId="54" priority="1">
      <formula>COLUMN(B12)&gt;2</formula>
    </cfRule>
  </conditionalFormatting>
  <conditionalFormatting sqref="B13:K13 B15:K15 B17:K17 B19:K19 B21:K21 B23:K23 B25:K25 B27:K27 B29:K29 B31:K31">
    <cfRule type="expression" dxfId="53" priority="4">
      <formula>B13&lt;&gt;""</formula>
    </cfRule>
  </conditionalFormatting>
  <conditionalFormatting sqref="B13:K13 B15:K15 B17:K17 B19:K19 B21:K21 B23:K23 B25:K25 B27:K27 B29:K29">
    <cfRule type="expression" dxfId="52" priority="2">
      <formula>COLUMN(B13)&gt;=2</formula>
    </cfRule>
  </conditionalFormatting>
  <conditionalFormatting sqref="C3:H3">
    <cfRule type="expression" dxfId="51" priority="6" stopIfTrue="1">
      <formula>DAY(C3)&gt;8</formula>
    </cfRule>
  </conditionalFormatting>
  <conditionalFormatting sqref="C3:K8">
    <cfRule type="expression" dxfId="50" priority="7">
      <formula>VLOOKUP(DAY(C3),作業日期,1,FALSE)=DAY(C3)</formula>
    </cfRule>
  </conditionalFormatting>
  <conditionalFormatting sqref="C7:K8">
    <cfRule type="expression" dxfId="49" priority="5" stopIfTrue="1">
      <formula>AND(DAY(C7)&gt;=1,DAY(C7)&lt;=15)</formula>
    </cfRule>
  </conditionalFormatting>
  <dataValidations xWindow="136" yWindow="382" count="13">
    <dataValidation allowBlank="1" showInputMessage="1" showErrorMessage="1" prompt="在此列的欄 B 到欄 I 中輸入課程" sqref="B13" xr:uid="{00000000-0002-0000-0A00-000000000000}"/>
    <dataValidation allowBlank="1" showInputMessage="1" showErrorMessage="1" prompt="在此列的欄 B 到欄 I 中輸入時間" sqref="B12" xr:uid="{00000000-0002-0000-0A00-000001000000}"/>
    <dataValidation allowBlank="1" showInputMessage="1" showErrorMessage="1" prompt="如果此列中的數字小於前面的數字或前一列的數字，則此列會包含下個行事曆月份的日期" sqref="C8" xr:uid="{00000000-0002-0000-0A00-000002000000}"/>
    <dataValidation allowBlank="1" showInputMessage="1" showErrorMessage="1" prompt="如果此儲存格中沒有數字 1，就表示它是上個月的日期。儲存格 C3:I8 包含當月的日期" sqref="C3" xr:uid="{00000000-0002-0000-0A00-000003000000}"/>
    <dataValidation allowBlank="1" showInputMessage="1" showErrorMessage="1" prompt="儲存格 C2:I2 包含工作日" sqref="C2:D2" xr:uid="{038E3217-2538-4C16-AA9D-54237470A2BC}"/>
    <dataValidation allowBlank="1" showInputMessage="1" showErrorMessage="1" prompt="在此工作表中排定每週課表與建立作業清單。在 [1 月] 工作表的儲存格 B1 中輸入之年份的每月行事曆中，會自動醒目提示相關作業" sqref="A1" xr:uid="{00000000-0002-0000-0A00-000005000000}"/>
    <dataValidation allowBlank="1" showInputMessage="1" showErrorMessage="1" prompt="行事曆年份會自動更新。若要變更年份，請更新 [1 月] 工作表中的儲存格 B1" sqref="B1" xr:uid="{00000000-0002-0000-0A00-000006000000}"/>
    <dataValidation allowBlank="1" showInputMessage="1" showErrorMessage="1" prompt="11 月行事曆會自動醒目提示當月的作業清單項目。較深色的字型表示該日期有作業。較淺色的字型表示屬於上個月或下個月的日期" sqref="B2" xr:uid="{00000000-0002-0000-0A00-000007000000}"/>
    <dataValidation allowBlank="1" showInputMessage="1" showErrorMessage="1" prompt="此欄依星期幾分組，每組包含 6 個列，用於記錄當月依每個星期幾分組的作業。插入新列即可新增更多作業。左側的行事曆會醒目提示相關項目" sqref="L1" xr:uid="{00000000-0002-0000-0A00-000008000000}"/>
    <dataValidation allowBlank="1" showInputMessage="1" showErrorMessage="1" prompt="在此欄中輸入與左側行事曆月份欄 J 中的星期幾以及欄 K 中的日期相對應的作業詳細資料" sqref="N1:O1" xr:uid="{00000000-0002-0000-0A00-000009000000}"/>
    <dataValidation allowBlank="1" showInputMessage="1" showErrorMessage="1" prompt="在此欄中輸入與欄 J 中的星期幾相對應的當月作業日期。左側行事曆中的這個日期會醒目提示相關作業" sqref="M1" xr:uid="{00000000-0002-0000-0A00-00000A000000}"/>
    <dataValidation allowBlank="1" showInputMessage="1" showErrorMessage="1" prompt="此列為星期幾，包括星期一到星期五" sqref="B11" xr:uid="{00000000-0002-0000-0A00-00000B000000}"/>
    <dataValidation allowBlank="1" showInputMessage="1" showErrorMessage="1" prompt="輸入課程的時間，並在底下新列中的欄 B 到欄 I 的每個星期幾中輸入課程名稱。在後續各列中，針對所有課程重複此輸入方式" sqref="B10" xr:uid="{00000000-0002-0000-0A00-00000C000000}"/>
  </dataValidations>
  <printOptions horizontalCentered="1" verticalCentered="1"/>
  <pageMargins left="0.5" right="0.5" top="0.5" bottom="0.5" header="0.3" footer="0.3"/>
  <pageSetup paperSize="9" scale="56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  <pageSetUpPr fitToPage="1"/>
  </sheetPr>
  <dimension ref="A1:O43"/>
  <sheetViews>
    <sheetView showGridLines="0" zoomScaleNormal="100" zoomScalePageLayoutView="84" workbookViewId="0">
      <selection activeCell="I9" sqref="I9"/>
    </sheetView>
  </sheetViews>
  <sheetFormatPr defaultColWidth="8.796875" defaultRowHeight="30" customHeight="1"/>
  <cols>
    <col min="1" max="1" width="2.796875" style="4" customWidth="1"/>
    <col min="2" max="2" width="20.796875" style="1" customWidth="1"/>
    <col min="3" max="8" width="10.796875" style="4" customWidth="1"/>
    <col min="9" max="11" width="20.796875" style="4" customWidth="1"/>
    <col min="12" max="12" width="10.796875" style="1" customWidth="1"/>
    <col min="13" max="13" width="10.796875" style="4" customWidth="1"/>
    <col min="14" max="14" width="70.796875" style="4" customWidth="1"/>
    <col min="15" max="15" width="79.3984375" style="57" customWidth="1"/>
    <col min="16" max="16384" width="8.796875" style="4"/>
  </cols>
  <sheetData>
    <row r="1" spans="1:15" ht="30" customHeight="1">
      <c r="A1" s="1"/>
      <c r="B1" s="29">
        <f>_xlfn.SINGLE(行事曆年份)</f>
        <v>2026</v>
      </c>
      <c r="L1" s="5" t="s">
        <v>23</v>
      </c>
      <c r="M1" s="5" t="s">
        <v>24</v>
      </c>
      <c r="N1" s="6" t="s">
        <v>41</v>
      </c>
      <c r="O1" s="59" t="s">
        <v>45</v>
      </c>
    </row>
    <row r="2" spans="1:15" ht="30" customHeight="1">
      <c r="A2" s="7"/>
      <c r="B2" s="30" t="s">
        <v>40</v>
      </c>
      <c r="C2" s="9" t="s">
        <v>13</v>
      </c>
      <c r="D2" s="9" t="s">
        <v>5</v>
      </c>
      <c r="E2" s="9" t="s">
        <v>14</v>
      </c>
      <c r="F2" s="9" t="s">
        <v>19</v>
      </c>
      <c r="G2" s="9" t="s">
        <v>20</v>
      </c>
      <c r="H2" s="9" t="s">
        <v>21</v>
      </c>
      <c r="I2" s="9" t="s">
        <v>22</v>
      </c>
      <c r="J2" s="9"/>
      <c r="K2" s="9"/>
      <c r="L2" s="10" t="s">
        <v>5</v>
      </c>
      <c r="M2" s="11"/>
      <c r="N2" s="1"/>
      <c r="O2" s="54"/>
    </row>
    <row r="3" spans="1:15" ht="30" customHeight="1">
      <c r="A3" s="7"/>
      <c r="C3" s="47">
        <f>IF(DAY(DecSun1)=1,DecSun1-6,DecSun1+1)</f>
        <v>46355</v>
      </c>
      <c r="D3" s="47">
        <f>IF(DAY(DecSun1)=1,DecSun1-5,DecSun1+2)</f>
        <v>46356</v>
      </c>
      <c r="E3" s="47">
        <f>IF(DAY(DecSun1)=1,DecSun1-4,DecSun1+3)</f>
        <v>46357</v>
      </c>
      <c r="F3" s="47">
        <f>IF(DAY(DecSun1)=1,DecSun1-3,DecSun1+4)</f>
        <v>46358</v>
      </c>
      <c r="G3" s="47">
        <f>IF(DAY(DecSun1)=1,DecSun1-2,DecSun1+5)</f>
        <v>46359</v>
      </c>
      <c r="H3" s="47">
        <f>IF(DAY(DecSun1)=1,DecSun1-1,DecSun1+6)</f>
        <v>46360</v>
      </c>
      <c r="I3" s="47">
        <f>IF(DAY(DecSun1)=1,DecSun1,DecSun1+7)</f>
        <v>46361</v>
      </c>
      <c r="J3" s="47"/>
      <c r="K3" s="47"/>
      <c r="L3" s="10"/>
      <c r="M3" s="11"/>
      <c r="N3" s="1"/>
      <c r="O3" s="54"/>
    </row>
    <row r="4" spans="1:15" ht="30" customHeight="1">
      <c r="A4" s="7"/>
      <c r="C4" s="47">
        <f>IF(DAY(DecSun1)=1,DecSun1+1,DecSun1+8)</f>
        <v>46362</v>
      </c>
      <c r="D4" s="47">
        <f>IF(DAY(DecSun1)=1,DecSun1+2,DecSun1+9)</f>
        <v>46363</v>
      </c>
      <c r="E4" s="47">
        <f>IF(DAY(DecSun1)=1,DecSun1+3,DecSun1+10)</f>
        <v>46364</v>
      </c>
      <c r="F4" s="47">
        <f>IF(DAY(DecSun1)=1,DecSun1+4,DecSun1+11)</f>
        <v>46365</v>
      </c>
      <c r="G4" s="47">
        <f>IF(DAY(DecSun1)=1,DecSun1+5,DecSun1+12)</f>
        <v>46366</v>
      </c>
      <c r="H4" s="47">
        <f>IF(DAY(DecSun1)=1,DecSun1+6,DecSun1+13)</f>
        <v>46367</v>
      </c>
      <c r="I4" s="47">
        <f>IF(DAY(DecSun1)=1,DecSun1+7,DecSun1+14)</f>
        <v>46368</v>
      </c>
      <c r="J4" s="47"/>
      <c r="K4" s="47"/>
      <c r="L4" s="10"/>
      <c r="M4" s="11"/>
      <c r="N4" s="1"/>
      <c r="O4" s="54"/>
    </row>
    <row r="5" spans="1:15" ht="30" customHeight="1">
      <c r="A5" s="7"/>
      <c r="C5" s="47">
        <f>IF(DAY(DecSun1)=1,DecSun1+8,DecSun1+15)</f>
        <v>46369</v>
      </c>
      <c r="D5" s="47">
        <f>IF(DAY(DecSun1)=1,DecSun1+9,DecSun1+16)</f>
        <v>46370</v>
      </c>
      <c r="E5" s="47">
        <f>IF(DAY(DecSun1)=1,DecSun1+10,DecSun1+17)</f>
        <v>46371</v>
      </c>
      <c r="F5" s="47">
        <f>IF(DAY(DecSun1)=1,DecSun1+11,DecSun1+18)</f>
        <v>46372</v>
      </c>
      <c r="G5" s="47">
        <f>IF(DAY(DecSun1)=1,DecSun1+12,DecSun1+19)</f>
        <v>46373</v>
      </c>
      <c r="H5" s="47">
        <f>IF(DAY(DecSun1)=1,DecSun1+13,DecSun1+20)</f>
        <v>46374</v>
      </c>
      <c r="I5" s="47">
        <f>IF(DAY(DecSun1)=1,DecSun1+14,DecSun1+21)</f>
        <v>46375</v>
      </c>
      <c r="J5" s="47"/>
      <c r="K5" s="47"/>
      <c r="L5" s="10"/>
      <c r="M5" s="11"/>
      <c r="N5" s="1"/>
      <c r="O5" s="54"/>
    </row>
    <row r="6" spans="1:15" ht="30" customHeight="1">
      <c r="A6" s="7"/>
      <c r="C6" s="47">
        <f>IF(DAY(DecSun1)=1,DecSun1+15,DecSun1+22)</f>
        <v>46376</v>
      </c>
      <c r="D6" s="47">
        <f>IF(DAY(DecSun1)=1,DecSun1+16,DecSun1+23)</f>
        <v>46377</v>
      </c>
      <c r="E6" s="47">
        <f>IF(DAY(DecSun1)=1,DecSun1+17,DecSun1+24)</f>
        <v>46378</v>
      </c>
      <c r="F6" s="47">
        <f>IF(DAY(DecSun1)=1,DecSun1+18,DecSun1+25)</f>
        <v>46379</v>
      </c>
      <c r="G6" s="47">
        <f>IF(DAY(DecSun1)=1,DecSun1+19,DecSun1+26)</f>
        <v>46380</v>
      </c>
      <c r="H6" s="47">
        <f>IF(DAY(DecSun1)=1,DecSun1+20,DecSun1+27)</f>
        <v>46381</v>
      </c>
      <c r="I6" s="47">
        <f>IF(DAY(DecSun1)=1,DecSun1+21,DecSun1+28)</f>
        <v>46382</v>
      </c>
      <c r="J6" s="47"/>
      <c r="K6" s="47"/>
      <c r="L6" s="10"/>
      <c r="M6" s="11"/>
      <c r="N6" s="1"/>
      <c r="O6" s="54"/>
    </row>
    <row r="7" spans="1:15" ht="30" customHeight="1">
      <c r="A7" s="7"/>
      <c r="C7" s="47">
        <f>IF(DAY(DecSun1)=1,DecSun1+22,DecSun1+29)</f>
        <v>46383</v>
      </c>
      <c r="D7" s="47">
        <f>IF(DAY(DecSun1)=1,DecSun1+23,DecSun1+30)</f>
        <v>46384</v>
      </c>
      <c r="E7" s="47">
        <f>IF(DAY(DecSun1)=1,DecSun1+24,DecSun1+31)</f>
        <v>46385</v>
      </c>
      <c r="F7" s="47">
        <f>IF(DAY(DecSun1)=1,DecSun1+25,DecSun1+32)</f>
        <v>46386</v>
      </c>
      <c r="G7" s="47">
        <f>IF(DAY(DecSun1)=1,DecSun1+26,DecSun1+33)</f>
        <v>46387</v>
      </c>
      <c r="H7" s="47">
        <f>IF(DAY(DecSun1)=1,DecSun1+27,DecSun1+34)</f>
        <v>46388</v>
      </c>
      <c r="I7" s="47">
        <f>IF(DAY(DecSun1)=1,DecSun1+28,DecSun1+35)</f>
        <v>46389</v>
      </c>
      <c r="J7" s="47"/>
      <c r="K7" s="47"/>
      <c r="L7" s="13"/>
      <c r="M7" s="14"/>
      <c r="N7" s="15"/>
      <c r="O7" s="54"/>
    </row>
    <row r="8" spans="1:15" ht="30" customHeight="1">
      <c r="A8" s="7"/>
      <c r="B8" s="15"/>
      <c r="C8" s="47">
        <f>IF(DAY(DecSun1)=1,DecSun1+29,DecSun1+36)</f>
        <v>46390</v>
      </c>
      <c r="D8" s="47">
        <f>IF(DAY(DecSun1)=1,DecSun1+30,DecSun1+37)</f>
        <v>46391</v>
      </c>
      <c r="E8" s="47">
        <f>IF(DAY(DecSun1)=1,DecSun1+31,DecSun1+38)</f>
        <v>46392</v>
      </c>
      <c r="F8" s="47">
        <f>IF(DAY(DecSun1)=1,DecSun1+32,DecSun1+39)</f>
        <v>46393</v>
      </c>
      <c r="G8" s="47">
        <f>IF(DAY(DecSun1)=1,DecSun1+33,DecSun1+40)</f>
        <v>46394</v>
      </c>
      <c r="H8" s="47">
        <f>IF(DAY(DecSun1)=1,DecSun1+34,DecSun1+41)</f>
        <v>46395</v>
      </c>
      <c r="I8" s="47">
        <f>IF(DAY(DecSun1)=1,DecSun1+35,DecSun1+42)</f>
        <v>46396</v>
      </c>
      <c r="J8" s="47"/>
      <c r="K8" s="47"/>
      <c r="L8" s="10" t="s">
        <v>14</v>
      </c>
      <c r="M8" s="11"/>
      <c r="N8" s="1"/>
      <c r="O8" s="54"/>
    </row>
    <row r="9" spans="1:15" ht="30" customHeight="1">
      <c r="A9" s="7"/>
      <c r="C9" s="31"/>
      <c r="D9" s="31"/>
      <c r="E9" s="31"/>
      <c r="F9" s="31"/>
      <c r="G9" s="31"/>
      <c r="H9" s="31"/>
      <c r="I9" s="31"/>
      <c r="J9" s="31"/>
      <c r="K9" s="31"/>
      <c r="L9" s="10"/>
      <c r="M9" s="11"/>
      <c r="N9" s="1"/>
      <c r="O9" s="54"/>
    </row>
    <row r="10" spans="1:15" ht="30" customHeight="1">
      <c r="A10" s="7"/>
      <c r="B10" s="16" t="s">
        <v>42</v>
      </c>
      <c r="C10" s="17"/>
      <c r="D10" s="17"/>
      <c r="E10" s="17"/>
      <c r="F10" s="17"/>
      <c r="G10" s="17"/>
      <c r="H10" s="17"/>
      <c r="I10" s="17"/>
      <c r="J10" s="17"/>
      <c r="K10" s="17"/>
      <c r="L10" s="10"/>
      <c r="M10" s="11"/>
      <c r="N10" s="1"/>
      <c r="O10" s="54"/>
    </row>
    <row r="11" spans="1:15" ht="30" customHeight="1">
      <c r="A11" s="18" t="s">
        <v>23</v>
      </c>
      <c r="B11" s="19" t="s">
        <v>5</v>
      </c>
      <c r="C11" s="76" t="s">
        <v>14</v>
      </c>
      <c r="D11" s="77"/>
      <c r="E11" s="76" t="s">
        <v>19</v>
      </c>
      <c r="F11" s="77"/>
      <c r="G11" s="76" t="s">
        <v>20</v>
      </c>
      <c r="H11" s="77"/>
      <c r="I11" s="74" t="s">
        <v>49</v>
      </c>
      <c r="J11" s="74" t="s">
        <v>47</v>
      </c>
      <c r="K11" s="20" t="s">
        <v>48</v>
      </c>
      <c r="L11" s="10"/>
      <c r="M11" s="11"/>
      <c r="N11" s="1"/>
      <c r="O11" s="54"/>
    </row>
    <row r="12" spans="1:15" ht="30" customHeight="1">
      <c r="A12" s="18" t="s">
        <v>1</v>
      </c>
      <c r="B12" s="21"/>
      <c r="C12" s="78"/>
      <c r="D12" s="78"/>
      <c r="E12" s="78"/>
      <c r="F12" s="78"/>
      <c r="G12" s="78"/>
      <c r="H12" s="78"/>
      <c r="I12" s="32"/>
      <c r="J12" s="65"/>
      <c r="K12" s="65"/>
      <c r="L12" s="10"/>
      <c r="M12" s="11"/>
      <c r="N12" s="1"/>
      <c r="O12" s="54"/>
    </row>
    <row r="13" spans="1:15" ht="30" customHeight="1">
      <c r="A13" s="18" t="s">
        <v>2</v>
      </c>
      <c r="B13" s="23"/>
      <c r="C13" s="79"/>
      <c r="D13" s="79"/>
      <c r="E13" s="79"/>
      <c r="F13" s="79"/>
      <c r="G13" s="79"/>
      <c r="H13" s="79"/>
      <c r="I13" s="23"/>
      <c r="J13" s="49"/>
      <c r="K13" s="49"/>
      <c r="L13" s="13"/>
      <c r="M13" s="14"/>
      <c r="N13" s="15"/>
      <c r="O13" s="54"/>
    </row>
    <row r="14" spans="1:15" ht="30" customHeight="1">
      <c r="A14" s="18" t="s">
        <v>1</v>
      </c>
      <c r="B14" s="21"/>
      <c r="C14" s="78"/>
      <c r="D14" s="78"/>
      <c r="E14" s="78"/>
      <c r="F14" s="78"/>
      <c r="G14" s="78"/>
      <c r="H14" s="78"/>
      <c r="I14" s="32">
        <v>46367</v>
      </c>
      <c r="J14" s="65">
        <v>46368</v>
      </c>
      <c r="K14" s="65">
        <v>46369</v>
      </c>
      <c r="L14" s="10" t="s">
        <v>19</v>
      </c>
      <c r="M14" s="11"/>
      <c r="N14" s="1"/>
      <c r="O14" s="54"/>
    </row>
    <row r="15" spans="1:15" ht="30" customHeight="1">
      <c r="A15" s="18" t="s">
        <v>2</v>
      </c>
      <c r="B15" s="23"/>
      <c r="C15" s="79"/>
      <c r="D15" s="79"/>
      <c r="E15" s="79"/>
      <c r="F15" s="79"/>
      <c r="G15" s="79"/>
      <c r="H15" s="79"/>
      <c r="I15" s="23" t="s">
        <v>51</v>
      </c>
      <c r="J15" s="49" t="s">
        <v>50</v>
      </c>
      <c r="K15" s="49" t="s">
        <v>50</v>
      </c>
      <c r="L15" s="10"/>
      <c r="M15" s="11"/>
      <c r="N15" s="1"/>
      <c r="O15" s="54"/>
    </row>
    <row r="16" spans="1:15" ht="30" customHeight="1">
      <c r="A16" s="18" t="s">
        <v>1</v>
      </c>
      <c r="B16" s="21"/>
      <c r="C16" s="78"/>
      <c r="D16" s="78"/>
      <c r="E16" s="78"/>
      <c r="F16" s="78"/>
      <c r="G16" s="78"/>
      <c r="H16" s="78"/>
      <c r="I16" s="33"/>
      <c r="J16" s="65"/>
      <c r="K16" s="65"/>
      <c r="L16" s="10"/>
      <c r="M16" s="11"/>
      <c r="N16" s="1"/>
      <c r="O16" s="54"/>
    </row>
    <row r="17" spans="1:15" ht="30" customHeight="1">
      <c r="A17" s="18" t="s">
        <v>2</v>
      </c>
      <c r="B17" s="23"/>
      <c r="C17" s="79"/>
      <c r="D17" s="79"/>
      <c r="E17" s="79"/>
      <c r="F17" s="79"/>
      <c r="G17" s="79"/>
      <c r="H17" s="79"/>
      <c r="I17" s="23"/>
      <c r="J17" s="49"/>
      <c r="K17" s="49"/>
      <c r="L17" s="10"/>
      <c r="M17" s="11"/>
      <c r="N17" s="1"/>
      <c r="O17" s="54"/>
    </row>
    <row r="18" spans="1:15" ht="30" customHeight="1">
      <c r="A18" s="18" t="s">
        <v>1</v>
      </c>
      <c r="B18" s="21"/>
      <c r="C18" s="78"/>
      <c r="D18" s="78"/>
      <c r="E18" s="78"/>
      <c r="F18" s="78"/>
      <c r="G18" s="78"/>
      <c r="H18" s="78"/>
      <c r="I18" s="32"/>
      <c r="J18" s="65"/>
      <c r="K18" s="65"/>
      <c r="L18" s="10"/>
      <c r="M18" s="11"/>
      <c r="N18" s="1"/>
      <c r="O18" s="54"/>
    </row>
    <row r="19" spans="1:15" ht="30" customHeight="1">
      <c r="A19" s="18" t="s">
        <v>2</v>
      </c>
      <c r="B19" s="23"/>
      <c r="C19" s="79"/>
      <c r="D19" s="79"/>
      <c r="E19" s="79"/>
      <c r="F19" s="79"/>
      <c r="G19" s="79"/>
      <c r="H19" s="79"/>
      <c r="I19" s="34"/>
      <c r="J19" s="34"/>
      <c r="K19" s="34"/>
      <c r="L19" s="13"/>
      <c r="M19" s="14"/>
      <c r="N19" s="15"/>
      <c r="O19" s="54"/>
    </row>
    <row r="20" spans="1:15" ht="30" customHeight="1">
      <c r="A20" s="18" t="s">
        <v>1</v>
      </c>
      <c r="B20" s="21"/>
      <c r="C20" s="78"/>
      <c r="D20" s="78"/>
      <c r="E20" s="78"/>
      <c r="F20" s="78"/>
      <c r="G20" s="78"/>
      <c r="H20" s="78"/>
      <c r="I20" s="32"/>
      <c r="J20" s="65"/>
      <c r="K20" s="65"/>
      <c r="L20" s="10" t="s">
        <v>20</v>
      </c>
      <c r="M20" s="11"/>
      <c r="N20" s="1"/>
      <c r="O20" s="54"/>
    </row>
    <row r="21" spans="1:15" ht="30" customHeight="1">
      <c r="A21" s="18" t="s">
        <v>2</v>
      </c>
      <c r="B21" s="23"/>
      <c r="C21" s="79"/>
      <c r="D21" s="79"/>
      <c r="E21" s="79"/>
      <c r="F21" s="79"/>
      <c r="G21" s="79"/>
      <c r="H21" s="79"/>
      <c r="I21" s="23"/>
      <c r="J21" s="49"/>
      <c r="K21" s="49"/>
      <c r="L21" s="10"/>
      <c r="M21" s="11"/>
      <c r="N21" s="1"/>
      <c r="O21" s="54"/>
    </row>
    <row r="22" spans="1:15" ht="30" customHeight="1">
      <c r="A22" s="18" t="s">
        <v>1</v>
      </c>
      <c r="B22" s="21"/>
      <c r="C22" s="78"/>
      <c r="D22" s="78"/>
      <c r="E22" s="78"/>
      <c r="F22" s="78"/>
      <c r="G22" s="78"/>
      <c r="H22" s="78"/>
      <c r="I22" s="32"/>
      <c r="J22" s="65"/>
      <c r="K22" s="65"/>
      <c r="L22" s="10"/>
      <c r="M22" s="11"/>
      <c r="N22" s="1"/>
      <c r="O22" s="54"/>
    </row>
    <row r="23" spans="1:15" ht="30" customHeight="1">
      <c r="A23" s="18" t="s">
        <v>2</v>
      </c>
      <c r="B23" s="23"/>
      <c r="C23" s="79"/>
      <c r="D23" s="79"/>
      <c r="E23" s="79"/>
      <c r="F23" s="79"/>
      <c r="G23" s="79"/>
      <c r="H23" s="79"/>
      <c r="I23" s="23"/>
      <c r="J23" s="49"/>
      <c r="K23" s="49"/>
      <c r="L23" s="10"/>
      <c r="M23" s="11"/>
      <c r="N23" s="1"/>
      <c r="O23" s="54"/>
    </row>
    <row r="24" spans="1:15" ht="30" customHeight="1">
      <c r="A24" s="18" t="s">
        <v>1</v>
      </c>
      <c r="B24" s="21"/>
      <c r="C24" s="78"/>
      <c r="D24" s="78"/>
      <c r="E24" s="78"/>
      <c r="F24" s="78"/>
      <c r="G24" s="78"/>
      <c r="H24" s="78"/>
      <c r="I24" s="32"/>
      <c r="J24" s="65"/>
      <c r="K24" s="65"/>
      <c r="L24" s="10"/>
      <c r="M24" s="11"/>
      <c r="N24" s="1"/>
      <c r="O24" s="54"/>
    </row>
    <row r="25" spans="1:15" ht="30" customHeight="1">
      <c r="A25" s="18" t="s">
        <v>2</v>
      </c>
      <c r="B25" s="23"/>
      <c r="C25" s="79"/>
      <c r="D25" s="79"/>
      <c r="E25" s="79"/>
      <c r="F25" s="79"/>
      <c r="G25" s="79"/>
      <c r="H25" s="79"/>
      <c r="I25" s="23"/>
      <c r="J25" s="49"/>
      <c r="K25" s="49"/>
      <c r="L25" s="13"/>
      <c r="M25" s="14"/>
      <c r="N25" s="15"/>
      <c r="O25" s="54"/>
    </row>
    <row r="26" spans="1:15" ht="30" customHeight="1">
      <c r="A26" s="18" t="s">
        <v>1</v>
      </c>
      <c r="B26" s="21"/>
      <c r="C26" s="78"/>
      <c r="D26" s="78"/>
      <c r="E26" s="78"/>
      <c r="F26" s="78"/>
      <c r="G26" s="78"/>
      <c r="H26" s="78"/>
      <c r="I26" s="32"/>
      <c r="J26" s="65"/>
      <c r="K26" s="65"/>
      <c r="L26" s="10" t="s">
        <v>21</v>
      </c>
      <c r="M26" s="11"/>
      <c r="N26" s="1"/>
      <c r="O26" s="54"/>
    </row>
    <row r="27" spans="1:15" ht="30" customHeight="1">
      <c r="A27" s="18" t="s">
        <v>2</v>
      </c>
      <c r="B27" s="23"/>
      <c r="C27" s="79"/>
      <c r="D27" s="79"/>
      <c r="E27" s="79"/>
      <c r="F27" s="79"/>
      <c r="G27" s="79"/>
      <c r="H27" s="79"/>
      <c r="I27" s="23"/>
      <c r="J27" s="49"/>
      <c r="K27" s="49"/>
      <c r="L27" s="10"/>
      <c r="M27" s="11"/>
      <c r="N27" s="1"/>
      <c r="O27" s="54"/>
    </row>
    <row r="28" spans="1:15" ht="30" customHeight="1">
      <c r="A28" s="18" t="s">
        <v>1</v>
      </c>
      <c r="B28" s="21"/>
      <c r="C28" s="78"/>
      <c r="D28" s="78"/>
      <c r="E28" s="78"/>
      <c r="F28" s="78"/>
      <c r="G28" s="78"/>
      <c r="H28" s="78"/>
      <c r="I28" s="32"/>
      <c r="J28" s="65"/>
      <c r="K28" s="65"/>
      <c r="L28" s="10"/>
      <c r="M28" s="11"/>
      <c r="N28" s="1"/>
      <c r="O28" s="54"/>
    </row>
    <row r="29" spans="1:15" ht="30" customHeight="1">
      <c r="A29" s="18" t="s">
        <v>2</v>
      </c>
      <c r="B29" s="23"/>
      <c r="C29" s="79"/>
      <c r="D29" s="79"/>
      <c r="E29" s="79"/>
      <c r="F29" s="79"/>
      <c r="G29" s="79"/>
      <c r="H29" s="79"/>
      <c r="I29" s="23"/>
      <c r="J29" s="49"/>
      <c r="K29" s="49"/>
      <c r="L29" s="10"/>
      <c r="M29" s="11"/>
      <c r="N29" s="1"/>
      <c r="O29" s="54"/>
    </row>
    <row r="30" spans="1:15" ht="30" customHeight="1">
      <c r="A30" s="18" t="s">
        <v>1</v>
      </c>
      <c r="B30" s="21"/>
      <c r="C30" s="78"/>
      <c r="D30" s="78"/>
      <c r="E30" s="78"/>
      <c r="F30" s="78"/>
      <c r="G30" s="78"/>
      <c r="H30" s="78"/>
      <c r="I30" s="32"/>
      <c r="J30" s="65"/>
      <c r="K30" s="65"/>
      <c r="L30" s="10"/>
      <c r="M30" s="11"/>
      <c r="N30" s="1"/>
      <c r="O30" s="54"/>
    </row>
    <row r="31" spans="1:15" ht="30" customHeight="1">
      <c r="A31" s="18" t="s">
        <v>2</v>
      </c>
      <c r="B31" s="27"/>
      <c r="C31" s="80"/>
      <c r="D31" s="80"/>
      <c r="E31" s="80"/>
      <c r="F31" s="80"/>
      <c r="G31" s="80"/>
      <c r="H31" s="80"/>
      <c r="I31" s="27"/>
      <c r="J31" s="50"/>
      <c r="K31" s="50"/>
      <c r="L31" s="13"/>
      <c r="M31" s="14"/>
      <c r="N31" s="15"/>
      <c r="O31" s="54"/>
    </row>
    <row r="32" spans="1:15" ht="30" customHeight="1">
      <c r="L32" s="10" t="s">
        <v>47</v>
      </c>
      <c r="M32" s="11"/>
    </row>
    <row r="33" spans="12:15" ht="30" customHeight="1">
      <c r="L33" s="10"/>
      <c r="M33" s="11"/>
    </row>
    <row r="34" spans="12:15" ht="30" customHeight="1">
      <c r="L34" s="10"/>
      <c r="M34" s="11"/>
    </row>
    <row r="35" spans="12:15" ht="30" customHeight="1">
      <c r="L35" s="10"/>
      <c r="M35" s="11"/>
    </row>
    <row r="36" spans="12:15" ht="30" customHeight="1">
      <c r="L36" s="10"/>
      <c r="M36" s="11"/>
    </row>
    <row r="37" spans="12:15" ht="30" customHeight="1">
      <c r="L37" s="62"/>
      <c r="M37" s="63"/>
      <c r="N37" s="64"/>
    </row>
    <row r="38" spans="12:15" ht="30" customHeight="1">
      <c r="L38" s="66" t="s">
        <v>48</v>
      </c>
      <c r="M38" s="67"/>
      <c r="N38" s="55"/>
      <c r="O38" s="68"/>
    </row>
    <row r="39" spans="12:15" ht="30" customHeight="1">
      <c r="L39" s="10"/>
      <c r="M39" s="11"/>
    </row>
    <row r="40" spans="12:15" ht="30" customHeight="1">
      <c r="L40" s="10"/>
      <c r="M40" s="11"/>
    </row>
    <row r="41" spans="12:15" ht="30" customHeight="1">
      <c r="L41" s="10"/>
      <c r="M41" s="11"/>
    </row>
    <row r="42" spans="12:15" ht="30" customHeight="1">
      <c r="L42" s="10"/>
      <c r="M42" s="11"/>
    </row>
    <row r="43" spans="12:15" ht="30" customHeight="1">
      <c r="L43" s="62"/>
      <c r="M43" s="63"/>
      <c r="N43" s="64"/>
    </row>
  </sheetData>
  <mergeCells count="63">
    <mergeCell ref="C31:D31"/>
    <mergeCell ref="E31:F31"/>
    <mergeCell ref="G31:H31"/>
    <mergeCell ref="C29:D29"/>
    <mergeCell ref="E29:F29"/>
    <mergeCell ref="G29:H29"/>
    <mergeCell ref="C30:D30"/>
    <mergeCell ref="E30:F30"/>
    <mergeCell ref="G30:H30"/>
    <mergeCell ref="C27:D27"/>
    <mergeCell ref="E27:F27"/>
    <mergeCell ref="G27:H27"/>
    <mergeCell ref="C28:D28"/>
    <mergeCell ref="E28:F28"/>
    <mergeCell ref="G28:H28"/>
    <mergeCell ref="C25:D25"/>
    <mergeCell ref="E25:F25"/>
    <mergeCell ref="G25:H25"/>
    <mergeCell ref="C26:D26"/>
    <mergeCell ref="E26:F26"/>
    <mergeCell ref="G26:H26"/>
    <mergeCell ref="C23:D23"/>
    <mergeCell ref="E23:F23"/>
    <mergeCell ref="G23:H23"/>
    <mergeCell ref="C24:D24"/>
    <mergeCell ref="E24:F24"/>
    <mergeCell ref="G24:H24"/>
    <mergeCell ref="C21:D21"/>
    <mergeCell ref="E21:F21"/>
    <mergeCell ref="G21:H21"/>
    <mergeCell ref="C22:D22"/>
    <mergeCell ref="E22:F22"/>
    <mergeCell ref="G22:H22"/>
    <mergeCell ref="C19:D19"/>
    <mergeCell ref="E19:F19"/>
    <mergeCell ref="G19:H19"/>
    <mergeCell ref="C20:D20"/>
    <mergeCell ref="E20:F20"/>
    <mergeCell ref="G20:H20"/>
    <mergeCell ref="C17:D17"/>
    <mergeCell ref="E17:F17"/>
    <mergeCell ref="G17:H17"/>
    <mergeCell ref="C18:D18"/>
    <mergeCell ref="E18:F18"/>
    <mergeCell ref="G18:H18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C11:D11"/>
    <mergeCell ref="E11:F11"/>
    <mergeCell ref="G11:H11"/>
    <mergeCell ref="C12:D12"/>
    <mergeCell ref="E12:F12"/>
    <mergeCell ref="G12:H12"/>
  </mergeCells>
  <phoneticPr fontId="31" type="noConversion"/>
  <conditionalFormatting sqref="B12:K12 B14:K14 B16:K16 B18:K18 B20:K20 B22:K22 B24:K24 B26:K26 B28:K28 B30:K30">
    <cfRule type="expression" dxfId="48" priority="3">
      <formula>B12&lt;&gt;""</formula>
    </cfRule>
  </conditionalFormatting>
  <conditionalFormatting sqref="B12:K31">
    <cfRule type="expression" dxfId="47" priority="1">
      <formula>COLUMN(B12)&gt;2</formula>
    </cfRule>
  </conditionalFormatting>
  <conditionalFormatting sqref="B13:K13 B15:K15 B17:K17 B19:K19 B21:K21 B23:K23 B25:K25 B27:K27 B29:K29 B31:K31">
    <cfRule type="expression" dxfId="46" priority="4">
      <formula>B13&lt;&gt;""</formula>
    </cfRule>
  </conditionalFormatting>
  <conditionalFormatting sqref="B13:K13 B15:K15 B17:K17 B19:K19 B21:K21 B23:K23 B25:K25 B27:K27 B29:K29">
    <cfRule type="expression" dxfId="45" priority="2">
      <formula>COLUMN(B13)&gt;=2</formula>
    </cfRule>
  </conditionalFormatting>
  <conditionalFormatting sqref="C3:H3">
    <cfRule type="expression" dxfId="44" priority="6" stopIfTrue="1">
      <formula>DAY(C3)&gt;8</formula>
    </cfRule>
  </conditionalFormatting>
  <conditionalFormatting sqref="C3:K8">
    <cfRule type="expression" dxfId="43" priority="7">
      <formula>VLOOKUP(DAY(C3),作業日期,1,FALSE)=DAY(C3)</formula>
    </cfRule>
  </conditionalFormatting>
  <conditionalFormatting sqref="C7:K8">
    <cfRule type="expression" dxfId="42" priority="5" stopIfTrue="1">
      <formula>AND(DAY(C7)&gt;=1,DAY(C7)&lt;=15)</formula>
    </cfRule>
  </conditionalFormatting>
  <dataValidations xWindow="282" yWindow="695" count="13">
    <dataValidation allowBlank="1" showInputMessage="1" showErrorMessage="1" prompt="12 月行事曆會自動醒目提示當月的作業清單項目。較深色的字型表示該日期有作業。較淺色的字型表示屬於上個月或下個月的日期" sqref="B2" xr:uid="{00000000-0002-0000-0B00-000000000000}"/>
    <dataValidation allowBlank="1" showInputMessage="1" showErrorMessage="1" prompt="行事曆年份會自動更新。若要變更年份，請更新 [1 月] 工作表中的儲存格 B1" sqref="B1" xr:uid="{00000000-0002-0000-0B00-000001000000}"/>
    <dataValidation allowBlank="1" showInputMessage="1" showErrorMessage="1" prompt="在此工作表中排定每週課表與建立作業清單。在 [1 月] 工作表的儲存格 B1 中輸入之年份的每月行事曆中，會自動醒目提示相關作業" sqref="A1" xr:uid="{00000000-0002-0000-0B00-000002000000}"/>
    <dataValidation allowBlank="1" showInputMessage="1" showErrorMessage="1" prompt="儲存格 C2:I2 包含工作日" sqref="C2:D2" xr:uid="{D8207A47-94A5-4407-9CD1-601A559D92DD}"/>
    <dataValidation allowBlank="1" showInputMessage="1" showErrorMessage="1" prompt="如果此儲存格中沒有數字 1，就表示它是上個月的日期。儲存格 C3:I8 包含當月的日期" sqref="C3" xr:uid="{00000000-0002-0000-0B00-000004000000}"/>
    <dataValidation allowBlank="1" showInputMessage="1" showErrorMessage="1" prompt="如果此列中的數字小於前面的數字或前一列的數字，則此列會包含下個行事曆月份的日期" sqref="C8" xr:uid="{00000000-0002-0000-0B00-000005000000}"/>
    <dataValidation allowBlank="1" showInputMessage="1" showErrorMessage="1" prompt="在此列的欄 B 到欄 I 中輸入時間" sqref="B12" xr:uid="{00000000-0002-0000-0B00-000006000000}"/>
    <dataValidation allowBlank="1" showInputMessage="1" showErrorMessage="1" prompt="在此列的欄 B 到欄 I 中輸入課程" sqref="B13" xr:uid="{00000000-0002-0000-0B00-000007000000}"/>
    <dataValidation allowBlank="1" showInputMessage="1" showErrorMessage="1" prompt="此欄依星期幾分組，每組包含 6 個列，用於記錄當月依每個星期幾分組的作業。插入新列即可新增更多作業。左側的行事曆會醒目提示相關項目" sqref="L1" xr:uid="{00000000-0002-0000-0B00-000008000000}"/>
    <dataValidation allowBlank="1" showInputMessage="1" showErrorMessage="1" prompt="在此欄中輸入與左側行事曆月份欄 J 中的星期幾以及欄 K 中的日期相對應的作業詳細資料" sqref="N1:O1" xr:uid="{00000000-0002-0000-0B00-000009000000}"/>
    <dataValidation allowBlank="1" showInputMessage="1" showErrorMessage="1" prompt="在此欄中輸入與欄 J 中的星期幾相對應的當月作業日期。左側行事曆中的這個日期會醒目提示相關作業" sqref="M1" xr:uid="{00000000-0002-0000-0B00-00000A000000}"/>
    <dataValidation allowBlank="1" showInputMessage="1" showErrorMessage="1" prompt="此列為星期幾，包括星期一到星期五" sqref="B11" xr:uid="{00000000-0002-0000-0B00-00000B000000}"/>
    <dataValidation allowBlank="1" showInputMessage="1" showErrorMessage="1" prompt="輸入課程的時間，並在底下新列中的欄 B 到欄 I 的每個星期幾中輸入課程名稱。在後續各列中，針對所有課程重複此輸入方式" sqref="B10" xr:uid="{00000000-0002-0000-0B00-00000C000000}"/>
  </dataValidations>
  <printOptions horizontalCentered="1" verticalCentered="1"/>
  <pageMargins left="0.5" right="0.5" top="0.5" bottom="0.5" header="0.3" footer="0.3"/>
  <pageSetup paperSize="9" scale="56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A1:L31"/>
  <sheetViews>
    <sheetView showGridLines="0" zoomScaleNormal="100" zoomScalePageLayoutView="84" workbookViewId="0">
      <selection activeCell="B36" sqref="B36"/>
    </sheetView>
  </sheetViews>
  <sheetFormatPr defaultColWidth="8.796875" defaultRowHeight="30" customHeight="1"/>
  <cols>
    <col min="1" max="1" width="2.796875" style="4" customWidth="1"/>
    <col min="2" max="2" width="20.796875" style="4" customWidth="1"/>
    <col min="3" max="8" width="10.796875" style="4" customWidth="1"/>
    <col min="9" max="9" width="20.796875" style="4" customWidth="1"/>
    <col min="10" max="11" width="10.796875" style="4" customWidth="1"/>
    <col min="12" max="12" width="70.796875" style="4" customWidth="1"/>
    <col min="13" max="13" width="2.796875" style="4" customWidth="1"/>
    <col min="14" max="14" width="7.69921875" style="4" customWidth="1"/>
    <col min="15" max="16384" width="8.796875" style="4"/>
  </cols>
  <sheetData>
    <row r="1" spans="1:12" ht="30" customHeight="1">
      <c r="A1" s="1"/>
      <c r="B1" s="2">
        <v>2026</v>
      </c>
      <c r="C1" s="3" t="s">
        <v>12</v>
      </c>
      <c r="J1" s="5" t="s">
        <v>23</v>
      </c>
      <c r="K1" s="5" t="s">
        <v>24</v>
      </c>
      <c r="L1" s="6" t="s">
        <v>25</v>
      </c>
    </row>
    <row r="2" spans="1:12" ht="30" customHeight="1">
      <c r="A2" s="7"/>
      <c r="B2" s="8" t="s">
        <v>3</v>
      </c>
      <c r="C2" s="9" t="s">
        <v>13</v>
      </c>
      <c r="D2" s="9" t="s">
        <v>5</v>
      </c>
      <c r="E2" s="9" t="s">
        <v>14</v>
      </c>
      <c r="F2" s="9" t="s">
        <v>19</v>
      </c>
      <c r="G2" s="9" t="s">
        <v>20</v>
      </c>
      <c r="H2" s="9" t="s">
        <v>21</v>
      </c>
      <c r="I2" s="9" t="s">
        <v>22</v>
      </c>
      <c r="J2" s="10" t="s">
        <v>5</v>
      </c>
      <c r="K2" s="11">
        <v>4</v>
      </c>
      <c r="L2" s="12" t="s">
        <v>26</v>
      </c>
    </row>
    <row r="3" spans="1:12" ht="30" customHeight="1">
      <c r="A3" s="7"/>
      <c r="B3" s="1"/>
      <c r="C3" s="47">
        <f>IF(DAY(JanSun1)=1,JanSun1-6,JanSun1+1)</f>
        <v>46019</v>
      </c>
      <c r="D3" s="47">
        <f>IF(DAY(JanSun1)=1,JanSun1-5,JanSun1+2)</f>
        <v>46020</v>
      </c>
      <c r="E3" s="47">
        <f>IF(DAY(JanSun1)=1,JanSun1-4,JanSun1+3)</f>
        <v>46021</v>
      </c>
      <c r="F3" s="47">
        <f>IF(DAY(JanSun1)=1,JanSun1-3,JanSun1+4)</f>
        <v>46022</v>
      </c>
      <c r="G3" s="47">
        <f>IF(DAY(JanSun1)=1,JanSun1-2,JanSun1+5)</f>
        <v>46023</v>
      </c>
      <c r="H3" s="47">
        <f>IF(DAY(JanSun1)=1,JanSun1-1,JanSun1+6)</f>
        <v>46024</v>
      </c>
      <c r="I3" s="47">
        <f>IF(DAY(JanSun1)=1,JanSun1,JanSun1+7)</f>
        <v>46025</v>
      </c>
      <c r="J3" s="10"/>
      <c r="K3" s="11"/>
      <c r="L3" s="12"/>
    </row>
    <row r="4" spans="1:12" ht="30" customHeight="1">
      <c r="A4" s="7"/>
      <c r="B4" s="1"/>
      <c r="C4" s="47">
        <f>IF(DAY(JanSun1)=1,JanSun1+1,JanSun1+8)</f>
        <v>46026</v>
      </c>
      <c r="D4" s="47">
        <f>IF(DAY(JanSun1)=1,JanSun1+2,JanSun1+9)</f>
        <v>46027</v>
      </c>
      <c r="E4" s="47">
        <f>IF(DAY(JanSun1)=1,JanSun1+3,JanSun1+10)</f>
        <v>46028</v>
      </c>
      <c r="F4" s="47">
        <f>IF(DAY(JanSun1)=1,JanSun1+4,JanSun1+11)</f>
        <v>46029</v>
      </c>
      <c r="G4" s="47">
        <f>IF(DAY(JanSun1)=1,JanSun1+5,JanSun1+12)</f>
        <v>46030</v>
      </c>
      <c r="H4" s="47">
        <f>IF(DAY(JanSun1)=1,JanSun1+6,JanSun1+13)</f>
        <v>46031</v>
      </c>
      <c r="I4" s="47">
        <f>IF(DAY(JanSun1)=1,JanSun1+7,JanSun1+14)</f>
        <v>46032</v>
      </c>
      <c r="J4" s="10"/>
      <c r="K4" s="11"/>
      <c r="L4" s="12"/>
    </row>
    <row r="5" spans="1:12" ht="30" customHeight="1">
      <c r="A5" s="7"/>
      <c r="B5" s="1"/>
      <c r="C5" s="47">
        <f>IF(DAY(JanSun1)=1,JanSun1+8,JanSun1+15)</f>
        <v>46033</v>
      </c>
      <c r="D5" s="47">
        <f>IF(DAY(JanSun1)=1,JanSun1+9,JanSun1+16)</f>
        <v>46034</v>
      </c>
      <c r="E5" s="47">
        <f>IF(DAY(JanSun1)=1,JanSun1+10,JanSun1+17)</f>
        <v>46035</v>
      </c>
      <c r="F5" s="47">
        <f>IF(DAY(JanSun1)=1,JanSun1+11,JanSun1+18)</f>
        <v>46036</v>
      </c>
      <c r="G5" s="47">
        <f>IF(DAY(JanSun1)=1,JanSun1+12,JanSun1+19)</f>
        <v>46037</v>
      </c>
      <c r="H5" s="47">
        <f>IF(DAY(JanSun1)=1,JanSun1+13,JanSun1+20)</f>
        <v>46038</v>
      </c>
      <c r="I5" s="47">
        <f>IF(DAY(JanSun1)=1,JanSun1+14,JanSun1+21)</f>
        <v>46039</v>
      </c>
      <c r="J5" s="10"/>
      <c r="K5" s="11"/>
      <c r="L5" s="12"/>
    </row>
    <row r="6" spans="1:12" ht="30" customHeight="1">
      <c r="A6" s="7"/>
      <c r="B6" s="1"/>
      <c r="C6" s="47">
        <f>IF(DAY(JanSun1)=1,JanSun1+15,JanSun1+22)</f>
        <v>46040</v>
      </c>
      <c r="D6" s="47">
        <f>IF(DAY(JanSun1)=1,JanSun1+16,JanSun1+23)</f>
        <v>46041</v>
      </c>
      <c r="E6" s="47">
        <f>IF(DAY(JanSun1)=1,JanSun1+17,JanSun1+24)</f>
        <v>46042</v>
      </c>
      <c r="F6" s="47">
        <f>IF(DAY(JanSun1)=1,JanSun1+18,JanSun1+25)</f>
        <v>46043</v>
      </c>
      <c r="G6" s="47">
        <f>IF(DAY(JanSun1)=1,JanSun1+19,JanSun1+26)</f>
        <v>46044</v>
      </c>
      <c r="H6" s="47">
        <f>IF(DAY(JanSun1)=1,JanSun1+20,JanSun1+27)</f>
        <v>46045</v>
      </c>
      <c r="I6" s="47">
        <f>IF(DAY(JanSun1)=1,JanSun1+21,JanSun1+28)</f>
        <v>46046</v>
      </c>
      <c r="J6" s="10"/>
      <c r="K6" s="11"/>
      <c r="L6" s="12"/>
    </row>
    <row r="7" spans="1:12" ht="30" customHeight="1">
      <c r="A7" s="7"/>
      <c r="B7" s="1"/>
      <c r="C7" s="47">
        <f>IF(DAY(JanSun1)=1,JanSun1+22,JanSun1+29)</f>
        <v>46047</v>
      </c>
      <c r="D7" s="47">
        <f>IF(DAY(JanSun1)=1,JanSun1+23,JanSun1+30)</f>
        <v>46048</v>
      </c>
      <c r="E7" s="47">
        <f>IF(DAY(JanSun1)=1,JanSun1+24,JanSun1+31)</f>
        <v>46049</v>
      </c>
      <c r="F7" s="47">
        <f>IF(DAY(JanSun1)=1,JanSun1+25,JanSun1+32)</f>
        <v>46050</v>
      </c>
      <c r="G7" s="47">
        <f>IF(DAY(JanSun1)=1,JanSun1+26,JanSun1+33)</f>
        <v>46051</v>
      </c>
      <c r="H7" s="47">
        <f>IF(DAY(JanSun1)=1,JanSun1+27,JanSun1+34)</f>
        <v>46052</v>
      </c>
      <c r="I7" s="47">
        <f>IF(DAY(JanSun1)=1,JanSun1+28,JanSun1+35)</f>
        <v>46053</v>
      </c>
      <c r="J7" s="13"/>
      <c r="K7" s="14"/>
      <c r="L7" s="15"/>
    </row>
    <row r="8" spans="1:12" ht="30" customHeight="1">
      <c r="A8" s="7"/>
      <c r="B8" s="15"/>
      <c r="C8" s="48">
        <f>IF(DAY(JanSun1)=1,JanSun1+29,JanSun1+36)</f>
        <v>46054</v>
      </c>
      <c r="D8" s="48">
        <f>IF(DAY(JanSun1)=1,JanSun1+30,JanSun1+37)</f>
        <v>46055</v>
      </c>
      <c r="E8" s="48">
        <f>IF(DAY(JanSun1)=1,JanSun1+31,JanSun1+38)</f>
        <v>46056</v>
      </c>
      <c r="F8" s="48">
        <f>IF(DAY(JanSun1)=1,JanSun1+32,JanSun1+39)</f>
        <v>46057</v>
      </c>
      <c r="G8" s="48">
        <f>IF(DAY(JanSun1)=1,JanSun1+33,JanSun1+40)</f>
        <v>46058</v>
      </c>
      <c r="H8" s="48">
        <f>IF(DAY(JanSun1)=1,JanSun1+34,JanSun1+41)</f>
        <v>46059</v>
      </c>
      <c r="I8" s="48">
        <f>IF(DAY(JanSun1)=1,JanSun1+35,JanSun1+42)</f>
        <v>46060</v>
      </c>
      <c r="J8" s="10" t="s">
        <v>14</v>
      </c>
      <c r="K8" s="11">
        <v>19</v>
      </c>
      <c r="L8" s="12" t="s">
        <v>27</v>
      </c>
    </row>
    <row r="9" spans="1:12" ht="30" customHeight="1">
      <c r="A9" s="7"/>
      <c r="B9" s="1"/>
      <c r="J9" s="10"/>
      <c r="K9" s="11"/>
      <c r="L9" s="12"/>
    </row>
    <row r="10" spans="1:12" ht="30" customHeight="1">
      <c r="A10" s="7"/>
      <c r="B10" s="16" t="s">
        <v>4</v>
      </c>
      <c r="C10" s="17"/>
      <c r="D10" s="17"/>
      <c r="E10" s="17"/>
      <c r="F10" s="17"/>
      <c r="G10" s="17"/>
      <c r="H10" s="17"/>
      <c r="I10" s="17"/>
      <c r="J10" s="10"/>
      <c r="K10" s="11"/>
      <c r="L10" s="12"/>
    </row>
    <row r="11" spans="1:12" ht="30" customHeight="1">
      <c r="A11" s="18" t="s">
        <v>0</v>
      </c>
      <c r="B11" s="19" t="s">
        <v>5</v>
      </c>
      <c r="C11" s="76" t="s">
        <v>14</v>
      </c>
      <c r="D11" s="77"/>
      <c r="E11" s="76" t="s">
        <v>19</v>
      </c>
      <c r="F11" s="77"/>
      <c r="G11" s="76" t="s">
        <v>20</v>
      </c>
      <c r="H11" s="77"/>
      <c r="I11" s="20" t="s">
        <v>21</v>
      </c>
      <c r="J11" s="10"/>
      <c r="K11" s="11"/>
      <c r="L11" s="12"/>
    </row>
    <row r="12" spans="1:12" ht="30" customHeight="1">
      <c r="A12" s="18" t="s">
        <v>1</v>
      </c>
      <c r="B12" s="21"/>
      <c r="C12" s="78"/>
      <c r="D12" s="78"/>
      <c r="E12" s="78"/>
      <c r="F12" s="78"/>
      <c r="G12" s="78"/>
      <c r="H12" s="78"/>
      <c r="I12" s="22"/>
      <c r="J12" s="10"/>
      <c r="K12" s="11"/>
      <c r="L12" s="12"/>
    </row>
    <row r="13" spans="1:12" ht="30" customHeight="1">
      <c r="A13" s="18" t="s">
        <v>2</v>
      </c>
      <c r="B13" s="23"/>
      <c r="C13" s="79"/>
      <c r="D13" s="79"/>
      <c r="E13" s="79"/>
      <c r="F13" s="79"/>
      <c r="G13" s="79"/>
      <c r="H13" s="79"/>
      <c r="I13" s="24"/>
      <c r="J13" s="13"/>
      <c r="K13" s="14"/>
      <c r="L13" s="15"/>
    </row>
    <row r="14" spans="1:12" ht="30" customHeight="1">
      <c r="A14" s="18" t="s">
        <v>1</v>
      </c>
      <c r="B14" s="21"/>
      <c r="C14" s="78"/>
      <c r="D14" s="78"/>
      <c r="E14" s="78"/>
      <c r="F14" s="78"/>
      <c r="G14" s="78"/>
      <c r="H14" s="78"/>
      <c r="I14" s="22"/>
      <c r="J14" s="10" t="s">
        <v>19</v>
      </c>
      <c r="K14" s="11"/>
      <c r="L14" s="12"/>
    </row>
    <row r="15" spans="1:12" ht="30" customHeight="1">
      <c r="A15" s="18" t="s">
        <v>2</v>
      </c>
      <c r="B15" s="23"/>
      <c r="C15" s="79"/>
      <c r="D15" s="79"/>
      <c r="E15" s="79"/>
      <c r="F15" s="79"/>
      <c r="G15" s="79"/>
      <c r="H15" s="79"/>
      <c r="I15" s="24"/>
      <c r="J15" s="10"/>
      <c r="K15" s="11"/>
      <c r="L15" s="12"/>
    </row>
    <row r="16" spans="1:12" ht="30" customHeight="1">
      <c r="A16" s="18" t="s">
        <v>1</v>
      </c>
      <c r="B16" s="21"/>
      <c r="C16" s="78"/>
      <c r="D16" s="78"/>
      <c r="E16" s="78"/>
      <c r="F16" s="78"/>
      <c r="G16" s="78"/>
      <c r="H16" s="78"/>
      <c r="I16" s="22"/>
      <c r="J16" s="10"/>
      <c r="K16" s="11"/>
      <c r="L16" s="12"/>
    </row>
    <row r="17" spans="1:12" ht="30" customHeight="1">
      <c r="A17" s="18" t="s">
        <v>2</v>
      </c>
      <c r="B17" s="23"/>
      <c r="C17" s="79"/>
      <c r="D17" s="79"/>
      <c r="E17" s="79"/>
      <c r="F17" s="79"/>
      <c r="G17" s="79"/>
      <c r="H17" s="79"/>
      <c r="I17" s="24"/>
      <c r="J17" s="10"/>
      <c r="K17" s="11"/>
      <c r="L17" s="12"/>
    </row>
    <row r="18" spans="1:12" ht="30" customHeight="1">
      <c r="A18" s="18" t="s">
        <v>1</v>
      </c>
      <c r="B18" s="21"/>
      <c r="C18" s="78"/>
      <c r="D18" s="78"/>
      <c r="E18" s="78"/>
      <c r="F18" s="78"/>
      <c r="G18" s="78"/>
      <c r="H18" s="78"/>
      <c r="I18" s="22"/>
      <c r="J18" s="10"/>
      <c r="K18" s="11"/>
      <c r="L18" s="12"/>
    </row>
    <row r="19" spans="1:12" ht="30" customHeight="1">
      <c r="A19" s="18" t="s">
        <v>2</v>
      </c>
      <c r="B19" s="23"/>
      <c r="C19" s="79"/>
      <c r="D19" s="79"/>
      <c r="E19" s="79"/>
      <c r="F19" s="79"/>
      <c r="G19" s="79"/>
      <c r="H19" s="79"/>
      <c r="I19" s="25"/>
      <c r="J19" s="13"/>
      <c r="K19" s="14"/>
      <c r="L19" s="26"/>
    </row>
    <row r="20" spans="1:12" ht="30" customHeight="1">
      <c r="A20" s="18" t="s">
        <v>1</v>
      </c>
      <c r="B20" s="21"/>
      <c r="C20" s="78"/>
      <c r="D20" s="78"/>
      <c r="E20" s="78"/>
      <c r="F20" s="78"/>
      <c r="G20" s="78"/>
      <c r="H20" s="78"/>
      <c r="I20" s="22"/>
      <c r="J20" s="10" t="s">
        <v>20</v>
      </c>
      <c r="K20" s="11"/>
      <c r="L20" s="12"/>
    </row>
    <row r="21" spans="1:12" ht="30" customHeight="1">
      <c r="A21" s="18" t="s">
        <v>2</v>
      </c>
      <c r="B21" s="23"/>
      <c r="C21" s="79"/>
      <c r="D21" s="79"/>
      <c r="E21" s="79"/>
      <c r="F21" s="79"/>
      <c r="G21" s="79"/>
      <c r="H21" s="79"/>
      <c r="I21" s="24"/>
      <c r="J21" s="10"/>
      <c r="K21" s="11"/>
      <c r="L21" s="12"/>
    </row>
    <row r="22" spans="1:12" ht="30" customHeight="1">
      <c r="A22" s="18" t="s">
        <v>1</v>
      </c>
      <c r="B22" s="21"/>
      <c r="C22" s="78"/>
      <c r="D22" s="78"/>
      <c r="E22" s="78"/>
      <c r="F22" s="78"/>
      <c r="G22" s="78"/>
      <c r="H22" s="78"/>
      <c r="I22" s="22"/>
      <c r="J22" s="10"/>
      <c r="K22" s="11"/>
      <c r="L22" s="12"/>
    </row>
    <row r="23" spans="1:12" ht="30" customHeight="1">
      <c r="A23" s="18" t="s">
        <v>2</v>
      </c>
      <c r="B23" s="23"/>
      <c r="C23" s="79"/>
      <c r="D23" s="79"/>
      <c r="E23" s="79"/>
      <c r="F23" s="79"/>
      <c r="G23" s="79"/>
      <c r="H23" s="79"/>
      <c r="I23" s="24"/>
      <c r="J23" s="10"/>
      <c r="K23" s="11"/>
      <c r="L23" s="12"/>
    </row>
    <row r="24" spans="1:12" ht="30" customHeight="1">
      <c r="A24" s="18" t="s">
        <v>1</v>
      </c>
      <c r="B24" s="21"/>
      <c r="C24" s="78"/>
      <c r="D24" s="78"/>
      <c r="E24" s="78"/>
      <c r="F24" s="78"/>
      <c r="G24" s="78"/>
      <c r="H24" s="78"/>
      <c r="I24" s="22"/>
      <c r="J24" s="10"/>
      <c r="K24" s="11"/>
      <c r="L24" s="12"/>
    </row>
    <row r="25" spans="1:12" ht="30" customHeight="1">
      <c r="A25" s="18" t="s">
        <v>2</v>
      </c>
      <c r="B25" s="23"/>
      <c r="C25" s="79"/>
      <c r="D25" s="79"/>
      <c r="E25" s="79"/>
      <c r="F25" s="79"/>
      <c r="G25" s="79"/>
      <c r="H25" s="79"/>
      <c r="I25" s="24"/>
      <c r="J25" s="13"/>
      <c r="K25" s="14"/>
      <c r="L25" s="26"/>
    </row>
    <row r="26" spans="1:12" ht="30" customHeight="1">
      <c r="A26" s="18" t="s">
        <v>1</v>
      </c>
      <c r="B26" s="21"/>
      <c r="C26" s="78"/>
      <c r="D26" s="78"/>
      <c r="E26" s="78"/>
      <c r="F26" s="78"/>
      <c r="G26" s="78"/>
      <c r="H26" s="78"/>
      <c r="I26" s="22"/>
      <c r="J26" s="10" t="s">
        <v>21</v>
      </c>
      <c r="K26" s="11"/>
      <c r="L26" s="12"/>
    </row>
    <row r="27" spans="1:12" ht="30" customHeight="1">
      <c r="A27" s="18" t="s">
        <v>2</v>
      </c>
      <c r="B27" s="23"/>
      <c r="C27" s="79"/>
      <c r="D27" s="79"/>
      <c r="E27" s="79"/>
      <c r="F27" s="79"/>
      <c r="G27" s="79"/>
      <c r="H27" s="79"/>
      <c r="I27" s="24"/>
      <c r="J27" s="10"/>
      <c r="K27" s="11"/>
      <c r="L27" s="12"/>
    </row>
    <row r="28" spans="1:12" ht="30" customHeight="1">
      <c r="A28" s="18" t="s">
        <v>1</v>
      </c>
      <c r="B28" s="21"/>
      <c r="C28" s="78"/>
      <c r="D28" s="78"/>
      <c r="E28" s="78"/>
      <c r="F28" s="78"/>
      <c r="G28" s="78"/>
      <c r="H28" s="78"/>
      <c r="I28" s="22"/>
      <c r="J28" s="10"/>
      <c r="K28" s="11"/>
      <c r="L28" s="12"/>
    </row>
    <row r="29" spans="1:12" ht="30" customHeight="1">
      <c r="A29" s="18" t="s">
        <v>2</v>
      </c>
      <c r="B29" s="23"/>
      <c r="C29" s="79"/>
      <c r="D29" s="79"/>
      <c r="E29" s="79"/>
      <c r="F29" s="79"/>
      <c r="G29" s="79"/>
      <c r="H29" s="79"/>
      <c r="I29" s="24"/>
      <c r="J29" s="10"/>
      <c r="K29" s="11"/>
      <c r="L29" s="12"/>
    </row>
    <row r="30" spans="1:12" ht="30" customHeight="1">
      <c r="A30" s="18" t="s">
        <v>1</v>
      </c>
      <c r="B30" s="21"/>
      <c r="C30" s="82"/>
      <c r="D30" s="82"/>
      <c r="E30" s="82"/>
      <c r="F30" s="82"/>
      <c r="G30" s="82"/>
      <c r="H30" s="82"/>
      <c r="I30" s="22"/>
      <c r="J30" s="10"/>
      <c r="K30" s="11"/>
      <c r="L30" s="12"/>
    </row>
    <row r="31" spans="1:12" ht="30" customHeight="1">
      <c r="A31" s="18" t="s">
        <v>2</v>
      </c>
      <c r="B31" s="27"/>
      <c r="C31" s="80"/>
      <c r="D31" s="80"/>
      <c r="E31" s="80"/>
      <c r="F31" s="80"/>
      <c r="G31" s="80"/>
      <c r="H31" s="80"/>
      <c r="I31" s="27"/>
      <c r="J31" s="28"/>
      <c r="K31" s="11"/>
      <c r="L31" s="12"/>
    </row>
  </sheetData>
  <dataConsolidate/>
  <mergeCells count="63">
    <mergeCell ref="E11:F11"/>
    <mergeCell ref="C11:D11"/>
    <mergeCell ref="C17:D17"/>
    <mergeCell ref="C12:D12"/>
    <mergeCell ref="C13:D13"/>
    <mergeCell ref="C14:D14"/>
    <mergeCell ref="C15:D15"/>
    <mergeCell ref="C16:D16"/>
    <mergeCell ref="E14:F14"/>
    <mergeCell ref="E13:F13"/>
    <mergeCell ref="E12:F12"/>
    <mergeCell ref="C31:D3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18:D18"/>
    <mergeCell ref="C19:D19"/>
    <mergeCell ref="C20:D20"/>
    <mergeCell ref="C21:D21"/>
    <mergeCell ref="E31:F31"/>
    <mergeCell ref="E30:F30"/>
    <mergeCell ref="E29:F29"/>
    <mergeCell ref="E28:F28"/>
    <mergeCell ref="E27:F27"/>
    <mergeCell ref="E26:F26"/>
    <mergeCell ref="E25:F25"/>
    <mergeCell ref="E24:F24"/>
    <mergeCell ref="E23:F23"/>
    <mergeCell ref="E22:F22"/>
    <mergeCell ref="E21:F21"/>
    <mergeCell ref="E20:F20"/>
    <mergeCell ref="E19:F19"/>
    <mergeCell ref="E18:F18"/>
    <mergeCell ref="E17:F17"/>
    <mergeCell ref="E16:F16"/>
    <mergeCell ref="E15:F15"/>
    <mergeCell ref="G31:H31"/>
    <mergeCell ref="G20:H20"/>
    <mergeCell ref="G21:H21"/>
    <mergeCell ref="G22:H22"/>
    <mergeCell ref="G28:H28"/>
    <mergeCell ref="G29:H29"/>
    <mergeCell ref="G30:H30"/>
    <mergeCell ref="G23:H23"/>
    <mergeCell ref="G24:H24"/>
    <mergeCell ref="G25:H25"/>
    <mergeCell ref="G26:H26"/>
    <mergeCell ref="G18:H18"/>
    <mergeCell ref="G19:H19"/>
    <mergeCell ref="G14:H14"/>
    <mergeCell ref="G15:H15"/>
    <mergeCell ref="G27:H27"/>
    <mergeCell ref="G11:H11"/>
    <mergeCell ref="G12:H12"/>
    <mergeCell ref="G13:H13"/>
    <mergeCell ref="G16:H16"/>
    <mergeCell ref="G17:H17"/>
  </mergeCells>
  <phoneticPr fontId="1" type="noConversion"/>
  <conditionalFormatting sqref="B12:I12 B14:I14 B16:I16 B18:I18 B20:I20 B22:I22 B24:I24 B26:I26 B28:I28 B30:I30">
    <cfRule type="expression" dxfId="41" priority="6">
      <formula>B12&lt;&gt;""</formula>
    </cfRule>
  </conditionalFormatting>
  <conditionalFormatting sqref="B12:I31">
    <cfRule type="expression" dxfId="40" priority="1">
      <formula>COLUMN(B11)&gt;2</formula>
    </cfRule>
  </conditionalFormatting>
  <conditionalFormatting sqref="B13:I13 B15:I15 B17:I17 B19:I19 B21:I21 B23:I23 B25:I25 B27:I27 B29:I29 B31:I31">
    <cfRule type="expression" dxfId="39" priority="4">
      <formula>B13&lt;&gt;""</formula>
    </cfRule>
  </conditionalFormatting>
  <conditionalFormatting sqref="B13:I13 B15:I15 B17:I17 B19:I19 B21:I21 B23:I23 B25:I25 B27:I27 B29:I29">
    <cfRule type="expression" dxfId="38" priority="3">
      <formula>COLUMN(B12)&gt;=2</formula>
    </cfRule>
  </conditionalFormatting>
  <conditionalFormatting sqref="C3:H3">
    <cfRule type="expression" dxfId="37" priority="9" stopIfTrue="1">
      <formula>DAY(C3)&gt;8</formula>
    </cfRule>
  </conditionalFormatting>
  <conditionalFormatting sqref="C3:I8">
    <cfRule type="expression" dxfId="36" priority="20">
      <formula>VLOOKUP(DAY(C3),作業日期,1,FALSE)=DAY(C3)</formula>
    </cfRule>
  </conditionalFormatting>
  <conditionalFormatting sqref="C7:I8">
    <cfRule type="expression" dxfId="35" priority="8" stopIfTrue="1">
      <formula>AND(DAY(C7)&gt;=1,DAY(C7)&lt;=15)</formula>
    </cfRule>
  </conditionalFormatting>
  <dataValidations xWindow="250" yWindow="581" count="13">
    <dataValidation allowBlank="1" showInputMessage="1" showErrorMessage="1" prompt="在這個儲存格中輸入年份" sqref="B1" xr:uid="{00000000-0002-0000-0000-000000000000}"/>
    <dataValidation allowBlank="1" showInputMessage="1" showErrorMessage="1" prompt="在此工作表中排定每週課表與建立作業清單。作業清單項目在每月行事曆中會自動醒目提示。在儲存格 B1 中輸入行事曆年份" sqref="A1" xr:uid="{00000000-0002-0000-0000-000001000000}"/>
    <dataValidation allowBlank="1" showInputMessage="1" showErrorMessage="1" prompt="1 月行事曆會自動醒目提示當月的作業清單項目。較深色的字型表示該日期有作業。較淺色的字型表示屬於上個月或下個月的日期" sqref="B2" xr:uid="{00000000-0002-0000-0000-000002000000}"/>
    <dataValidation allowBlank="1" showInputMessage="1" showErrorMessage="1" prompt="儲存格 C2:I2 包含工作日" sqref="C2:D2" xr:uid="{00000000-0002-0000-0000-000003000000}"/>
    <dataValidation allowBlank="1" showInputMessage="1" showErrorMessage="1" prompt="如果此儲存格中沒有數字 1，就表示它是上個月的日期。儲存格 C3:I8 包含當月的日期" sqref="C3" xr:uid="{00000000-0002-0000-0000-000004000000}"/>
    <dataValidation allowBlank="1" showInputMessage="1" showErrorMessage="1" prompt="輸入課程的時間，並在底下新列中的欄 B 到欄 I 的每個星期幾中輸入課程名稱。在後續各列中，針對所有課程重複此輸入方式" sqref="B10" xr:uid="{00000000-0002-0000-0000-000005000000}"/>
    <dataValidation allowBlank="1" showInputMessage="1" showErrorMessage="1" prompt="在此列的欄 B 到欄 I 中輸入課程" sqref="B13" xr:uid="{00000000-0002-0000-0000-000006000000}"/>
    <dataValidation allowBlank="1" showInputMessage="1" showErrorMessage="1" prompt="在此欄中輸入與欄 J 中的星期幾相對應的當月作業日期。左側行事曆中的這個日期會醒目提示相關作業" sqref="K1" xr:uid="{00000000-0002-0000-0000-000007000000}"/>
    <dataValidation allowBlank="1" showInputMessage="1" showErrorMessage="1" prompt="在此列的欄 B 到欄 I 中輸入時間" sqref="B12" xr:uid="{00000000-0002-0000-0000-000008000000}"/>
    <dataValidation allowBlank="1" showInputMessage="1" showErrorMessage="1" prompt="在此欄中輸入與左側行事曆月份欄 J 中的星期幾以及欄 K 中的日期相對應的作業詳細資料" sqref="L1" xr:uid="{00000000-0002-0000-0000-000009000000}"/>
    <dataValidation allowBlank="1" showInputMessage="1" showErrorMessage="1" prompt="如果此列中的數字小於前面的數字或前一列的數字，則此列會包含下個行事曆月份的日期" sqref="C8" xr:uid="{00000000-0002-0000-0000-00000A000000}"/>
    <dataValidation allowBlank="1" showInputMessage="1" showErrorMessage="1" prompt="此欄依星期幾分組，每組包含 6 個列，用於記錄當月依每個星期幾分組的作業。插入新列即可新增更多作業。左側的行事曆會醒目提示相關項目" sqref="J1" xr:uid="{00000000-0002-0000-0000-00000B000000}"/>
    <dataValidation allowBlank="1" showInputMessage="1" showErrorMessage="1" prompt="此列為星期幾，包括星期一到星期五" sqref="B11" xr:uid="{00000000-0002-0000-0000-00000C000000}"/>
  </dataValidations>
  <printOptions horizontalCentered="1" verticalCentered="1"/>
  <pageMargins left="0.5" right="0.5" top="0.5" bottom="0.5" header="0.3" footer="0.3"/>
  <pageSetup paperSize="9" scale="56" orientation="landscape" r:id="rId1"/>
  <headerFooter differentFirst="1">
    <oddFooter>Page &amp;P of &amp;N</oddFooter>
  </headerFooter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/>
    <pageSetUpPr fitToPage="1"/>
  </sheetPr>
  <dimension ref="A1:L31"/>
  <sheetViews>
    <sheetView showGridLines="0" zoomScaleNormal="100" zoomScalePageLayoutView="84" workbookViewId="0"/>
  </sheetViews>
  <sheetFormatPr defaultColWidth="8.796875" defaultRowHeight="30" customHeight="1"/>
  <cols>
    <col min="1" max="1" width="2.796875" style="4" customWidth="1"/>
    <col min="2" max="2" width="20.796875" style="1" customWidth="1"/>
    <col min="3" max="8" width="10.796875" style="4" customWidth="1"/>
    <col min="9" max="9" width="20.796875" style="4" customWidth="1"/>
    <col min="10" max="11" width="10.796875" style="4" customWidth="1"/>
    <col min="12" max="12" width="70.796875" style="4" customWidth="1"/>
    <col min="13" max="13" width="2.796875" style="4" customWidth="1"/>
    <col min="14" max="16384" width="8.796875" style="4"/>
  </cols>
  <sheetData>
    <row r="1" spans="1:12" ht="30" customHeight="1">
      <c r="A1" s="1"/>
      <c r="B1" s="29">
        <f>_xlfn.SINGLE(行事曆年份)</f>
        <v>2026</v>
      </c>
      <c r="J1" s="5" t="s">
        <v>23</v>
      </c>
      <c r="K1" s="5" t="s">
        <v>24</v>
      </c>
      <c r="L1" s="6" t="s">
        <v>25</v>
      </c>
    </row>
    <row r="2" spans="1:12" ht="30" customHeight="1">
      <c r="A2" s="7"/>
      <c r="B2" s="45" t="s">
        <v>28</v>
      </c>
      <c r="C2" s="9" t="s">
        <v>13</v>
      </c>
      <c r="D2" s="9" t="s">
        <v>5</v>
      </c>
      <c r="E2" s="9" t="s">
        <v>14</v>
      </c>
      <c r="F2" s="9" t="s">
        <v>19</v>
      </c>
      <c r="G2" s="9" t="s">
        <v>20</v>
      </c>
      <c r="H2" s="9" t="s">
        <v>21</v>
      </c>
      <c r="I2" s="9" t="s">
        <v>22</v>
      </c>
      <c r="J2" s="10" t="s">
        <v>5</v>
      </c>
      <c r="K2" s="35"/>
      <c r="L2" s="1"/>
    </row>
    <row r="3" spans="1:12" ht="30" customHeight="1">
      <c r="A3" s="7"/>
      <c r="C3" s="47">
        <f>IF(DAY(FebSun1)=1,FebSun1-6,FebSun1+1)</f>
        <v>46054</v>
      </c>
      <c r="D3" s="47">
        <f>IF(DAY(FebSun1)=1,FebSun1-5,FebSun1+2)</f>
        <v>46055</v>
      </c>
      <c r="E3" s="47">
        <f>IF(DAY(FebSun1)=1,FebSun1-4,FebSun1+3)</f>
        <v>46056</v>
      </c>
      <c r="F3" s="47">
        <f>IF(DAY(FebSun1)=1,FebSun1-3,FebSun1+4)</f>
        <v>46057</v>
      </c>
      <c r="G3" s="47">
        <f>IF(DAY(FebSun1)=1,FebSun1-2,FebSun1+5)</f>
        <v>46058</v>
      </c>
      <c r="H3" s="47">
        <f>IF(DAY(FebSun1)=1,FebSun1-1,FebSun1+6)</f>
        <v>46059</v>
      </c>
      <c r="I3" s="47">
        <f>IF(DAY(FebSun1)=1,FebSun1,FebSun1+7)</f>
        <v>46060</v>
      </c>
      <c r="J3" s="10"/>
      <c r="K3" s="11"/>
      <c r="L3" s="1"/>
    </row>
    <row r="4" spans="1:12" ht="30" customHeight="1">
      <c r="A4" s="7"/>
      <c r="C4" s="47">
        <f>IF(DAY(FebSun1)=1,FebSun1+1,FebSun1+8)</f>
        <v>46061</v>
      </c>
      <c r="D4" s="47">
        <f>IF(DAY(FebSun1)=1,FebSun1+2,FebSun1+9)</f>
        <v>46062</v>
      </c>
      <c r="E4" s="47">
        <f>IF(DAY(FebSun1)=1,FebSun1+3,FebSun1+10)</f>
        <v>46063</v>
      </c>
      <c r="F4" s="47">
        <f>IF(DAY(FebSun1)=1,FebSun1+4,FebSun1+11)</f>
        <v>46064</v>
      </c>
      <c r="G4" s="47">
        <f>IF(DAY(FebSun1)=1,FebSun1+5,FebSun1+12)</f>
        <v>46065</v>
      </c>
      <c r="H4" s="47">
        <f>IF(DAY(FebSun1)=1,FebSun1+6,FebSun1+13)</f>
        <v>46066</v>
      </c>
      <c r="I4" s="47">
        <f>IF(DAY(FebSun1)=1,FebSun1+7,FebSun1+14)</f>
        <v>46067</v>
      </c>
      <c r="J4" s="10"/>
      <c r="K4" s="11"/>
      <c r="L4" s="1"/>
    </row>
    <row r="5" spans="1:12" ht="30" customHeight="1">
      <c r="A5" s="7"/>
      <c r="C5" s="47">
        <f>IF(DAY(FebSun1)=1,FebSun1+8,FebSun1+15)</f>
        <v>46068</v>
      </c>
      <c r="D5" s="47">
        <f>IF(DAY(FebSun1)=1,FebSun1+9,FebSun1+16)</f>
        <v>46069</v>
      </c>
      <c r="E5" s="47">
        <f>IF(DAY(FebSun1)=1,FebSun1+10,FebSun1+17)</f>
        <v>46070</v>
      </c>
      <c r="F5" s="47">
        <f>IF(DAY(FebSun1)=1,FebSun1+11,FebSun1+18)</f>
        <v>46071</v>
      </c>
      <c r="G5" s="47">
        <f>IF(DAY(FebSun1)=1,FebSun1+12,FebSun1+19)</f>
        <v>46072</v>
      </c>
      <c r="H5" s="47">
        <f>IF(DAY(FebSun1)=1,FebSun1+13,FebSun1+20)</f>
        <v>46073</v>
      </c>
      <c r="I5" s="47">
        <f>IF(DAY(FebSun1)=1,FebSun1+14,FebSun1+21)</f>
        <v>46074</v>
      </c>
      <c r="J5" s="10"/>
      <c r="K5" s="11"/>
      <c r="L5" s="1"/>
    </row>
    <row r="6" spans="1:12" ht="30" customHeight="1">
      <c r="A6" s="7"/>
      <c r="C6" s="47">
        <f>IF(DAY(FebSun1)=1,FebSun1+15,FebSun1+22)</f>
        <v>46075</v>
      </c>
      <c r="D6" s="47">
        <f>IF(DAY(FebSun1)=1,FebSun1+16,FebSun1+23)</f>
        <v>46076</v>
      </c>
      <c r="E6" s="47">
        <f>IF(DAY(FebSun1)=1,FebSun1+17,FebSun1+24)</f>
        <v>46077</v>
      </c>
      <c r="F6" s="47">
        <f>IF(DAY(FebSun1)=1,FebSun1+18,FebSun1+25)</f>
        <v>46078</v>
      </c>
      <c r="G6" s="47">
        <f>IF(DAY(FebSun1)=1,FebSun1+19,FebSun1+26)</f>
        <v>46079</v>
      </c>
      <c r="H6" s="47">
        <f>IF(DAY(FebSun1)=1,FebSun1+20,FebSun1+27)</f>
        <v>46080</v>
      </c>
      <c r="I6" s="47">
        <f>IF(DAY(FebSun1)=1,FebSun1+21,FebSun1+28)</f>
        <v>46081</v>
      </c>
      <c r="J6" s="10"/>
      <c r="K6" s="11"/>
      <c r="L6" s="1"/>
    </row>
    <row r="7" spans="1:12" ht="30" customHeight="1">
      <c r="A7" s="7"/>
      <c r="C7" s="47">
        <f>IF(DAY(FebSun1)=1,FebSun1+22,FebSun1+29)</f>
        <v>46082</v>
      </c>
      <c r="D7" s="47">
        <f>IF(DAY(FebSun1)=1,FebSun1+23,FebSun1+30)</f>
        <v>46083</v>
      </c>
      <c r="E7" s="47">
        <f>IF(DAY(FebSun1)=1,FebSun1+24,FebSun1+31)</f>
        <v>46084</v>
      </c>
      <c r="F7" s="47">
        <f>IF(DAY(FebSun1)=1,FebSun1+25,FebSun1+32)</f>
        <v>46085</v>
      </c>
      <c r="G7" s="47">
        <f>IF(DAY(FebSun1)=1,FebSun1+26,FebSun1+33)</f>
        <v>46086</v>
      </c>
      <c r="H7" s="47">
        <f>IF(DAY(FebSun1)=1,FebSun1+27,FebSun1+34)</f>
        <v>46087</v>
      </c>
      <c r="I7" s="47">
        <f>IF(DAY(FebSun1)=1,FebSun1+28,FebSun1+35)</f>
        <v>46088</v>
      </c>
      <c r="J7" s="13"/>
      <c r="K7" s="14"/>
      <c r="L7" s="15"/>
    </row>
    <row r="8" spans="1:12" ht="30" customHeight="1">
      <c r="A8" s="7"/>
      <c r="B8" s="15"/>
      <c r="C8" s="47">
        <f>IF(DAY(FebSun1)=1,FebSun1+29,FebSun1+36)</f>
        <v>46089</v>
      </c>
      <c r="D8" s="47">
        <f>IF(DAY(FebSun1)=1,FebSun1+30,FebSun1+37)</f>
        <v>46090</v>
      </c>
      <c r="E8" s="47">
        <f>IF(DAY(FebSun1)=1,FebSun1+31,FebSun1+38)</f>
        <v>46091</v>
      </c>
      <c r="F8" s="47">
        <f>IF(DAY(FebSun1)=1,FebSun1+32,FebSun1+39)</f>
        <v>46092</v>
      </c>
      <c r="G8" s="47">
        <f>IF(DAY(FebSun1)=1,FebSun1+33,FebSun1+40)</f>
        <v>46093</v>
      </c>
      <c r="H8" s="47">
        <f>IF(DAY(FebSun1)=1,FebSun1+34,FebSun1+41)</f>
        <v>46094</v>
      </c>
      <c r="I8" s="47">
        <f>IF(DAY(FebSun1)=1,FebSun1+35,FebSun1+42)</f>
        <v>46095</v>
      </c>
      <c r="J8" s="10" t="s">
        <v>14</v>
      </c>
      <c r="K8" s="35"/>
      <c r="L8" s="1"/>
    </row>
    <row r="9" spans="1:12" ht="30" customHeight="1">
      <c r="A9" s="7"/>
      <c r="C9" s="31"/>
      <c r="D9" s="31"/>
      <c r="E9" s="31"/>
      <c r="F9" s="31"/>
      <c r="G9" s="31"/>
      <c r="H9" s="31"/>
      <c r="I9" s="31"/>
      <c r="J9" s="10"/>
      <c r="K9" s="11"/>
      <c r="L9" s="1"/>
    </row>
    <row r="10" spans="1:12" ht="30" customHeight="1">
      <c r="A10" s="7"/>
      <c r="B10" s="16" t="s">
        <v>4</v>
      </c>
      <c r="C10" s="17"/>
      <c r="D10" s="17"/>
      <c r="E10" s="17"/>
      <c r="F10" s="17"/>
      <c r="G10" s="17"/>
      <c r="H10" s="17"/>
      <c r="I10" s="17"/>
      <c r="J10" s="10"/>
      <c r="K10" s="11"/>
      <c r="L10" s="1"/>
    </row>
    <row r="11" spans="1:12" ht="30" customHeight="1">
      <c r="A11" s="18" t="s">
        <v>23</v>
      </c>
      <c r="B11" s="19" t="s">
        <v>5</v>
      </c>
      <c r="C11" s="76" t="s">
        <v>14</v>
      </c>
      <c r="D11" s="77"/>
      <c r="E11" s="76" t="s">
        <v>19</v>
      </c>
      <c r="F11" s="77"/>
      <c r="G11" s="76" t="s">
        <v>20</v>
      </c>
      <c r="H11" s="77"/>
      <c r="I11" s="20" t="s">
        <v>21</v>
      </c>
      <c r="J11" s="10"/>
      <c r="K11" s="11"/>
      <c r="L11" s="1"/>
    </row>
    <row r="12" spans="1:12" ht="30" customHeight="1">
      <c r="A12" s="18" t="s">
        <v>1</v>
      </c>
      <c r="B12" s="21" t="s">
        <v>6</v>
      </c>
      <c r="C12" s="78"/>
      <c r="D12" s="78"/>
      <c r="E12" s="78" t="s">
        <v>6</v>
      </c>
      <c r="F12" s="78"/>
      <c r="G12" s="78"/>
      <c r="H12" s="78"/>
      <c r="I12" s="32" t="s">
        <v>6</v>
      </c>
      <c r="J12" s="10"/>
      <c r="K12" s="11"/>
      <c r="L12" s="1"/>
    </row>
    <row r="13" spans="1:12" ht="30" customHeight="1">
      <c r="A13" s="18" t="s">
        <v>2</v>
      </c>
      <c r="B13" s="23" t="s">
        <v>7</v>
      </c>
      <c r="C13" s="79"/>
      <c r="D13" s="79"/>
      <c r="E13" s="79" t="s">
        <v>7</v>
      </c>
      <c r="F13" s="79"/>
      <c r="G13" s="79"/>
      <c r="H13" s="79"/>
      <c r="I13" s="23" t="s">
        <v>7</v>
      </c>
      <c r="J13" s="13"/>
      <c r="K13" s="14"/>
      <c r="L13" s="15"/>
    </row>
    <row r="14" spans="1:12" ht="30" customHeight="1">
      <c r="A14" s="18" t="s">
        <v>1</v>
      </c>
      <c r="B14" s="21"/>
      <c r="C14" s="82" t="s">
        <v>15</v>
      </c>
      <c r="D14" s="82"/>
      <c r="E14" s="82"/>
      <c r="F14" s="82"/>
      <c r="G14" s="82" t="s">
        <v>15</v>
      </c>
      <c r="H14" s="82"/>
      <c r="I14" s="32"/>
      <c r="J14" s="10" t="s">
        <v>19</v>
      </c>
      <c r="K14" s="35"/>
      <c r="L14" s="1"/>
    </row>
    <row r="15" spans="1:12" ht="30" customHeight="1">
      <c r="A15" s="18" t="s">
        <v>2</v>
      </c>
      <c r="B15" s="23"/>
      <c r="C15" s="79" t="s">
        <v>16</v>
      </c>
      <c r="D15" s="79"/>
      <c r="E15" s="79"/>
      <c r="F15" s="79"/>
      <c r="G15" s="79" t="s">
        <v>16</v>
      </c>
      <c r="H15" s="79"/>
      <c r="I15" s="23"/>
      <c r="J15" s="10"/>
      <c r="K15" s="11"/>
      <c r="L15" s="1"/>
    </row>
    <row r="16" spans="1:12" ht="30" customHeight="1">
      <c r="A16" s="18" t="s">
        <v>1</v>
      </c>
      <c r="B16" s="21" t="s">
        <v>8</v>
      </c>
      <c r="C16" s="82"/>
      <c r="D16" s="82"/>
      <c r="E16" s="82" t="s">
        <v>8</v>
      </c>
      <c r="F16" s="82"/>
      <c r="G16" s="82"/>
      <c r="H16" s="82"/>
      <c r="I16" s="33" t="s">
        <v>8</v>
      </c>
      <c r="J16" s="10"/>
      <c r="K16" s="11"/>
      <c r="L16" s="1"/>
    </row>
    <row r="17" spans="1:12" ht="30" customHeight="1">
      <c r="A17" s="18" t="s">
        <v>2</v>
      </c>
      <c r="B17" s="23" t="s">
        <v>9</v>
      </c>
      <c r="C17" s="79"/>
      <c r="D17" s="79"/>
      <c r="E17" s="79" t="s">
        <v>9</v>
      </c>
      <c r="F17" s="79"/>
      <c r="G17" s="79"/>
      <c r="H17" s="79"/>
      <c r="I17" s="23" t="s">
        <v>9</v>
      </c>
      <c r="J17" s="10"/>
      <c r="K17" s="11"/>
      <c r="L17" s="1"/>
    </row>
    <row r="18" spans="1:12" ht="30" customHeight="1">
      <c r="A18" s="18" t="s">
        <v>1</v>
      </c>
      <c r="B18" s="21"/>
      <c r="C18" s="82"/>
      <c r="D18" s="82"/>
      <c r="E18" s="82"/>
      <c r="F18" s="82"/>
      <c r="G18" s="82"/>
      <c r="H18" s="82"/>
      <c r="I18" s="32"/>
      <c r="J18" s="10"/>
      <c r="K18" s="11"/>
      <c r="L18" s="1"/>
    </row>
    <row r="19" spans="1:12" ht="30" customHeight="1">
      <c r="A19" s="18" t="s">
        <v>2</v>
      </c>
      <c r="B19" s="23"/>
      <c r="C19" s="79"/>
      <c r="D19" s="79"/>
      <c r="E19" s="79"/>
      <c r="F19" s="79"/>
      <c r="G19" s="79"/>
      <c r="H19" s="79"/>
      <c r="I19" s="34"/>
      <c r="J19" s="13"/>
      <c r="K19" s="14"/>
      <c r="L19" s="15"/>
    </row>
    <row r="20" spans="1:12" ht="30" customHeight="1">
      <c r="A20" s="18" t="s">
        <v>1</v>
      </c>
      <c r="B20" s="21"/>
      <c r="C20" s="82"/>
      <c r="D20" s="82"/>
      <c r="E20" s="82"/>
      <c r="F20" s="82"/>
      <c r="G20" s="82"/>
      <c r="H20" s="82"/>
      <c r="I20" s="32"/>
      <c r="J20" s="10" t="s">
        <v>20</v>
      </c>
      <c r="K20" s="35"/>
      <c r="L20" s="1"/>
    </row>
    <row r="21" spans="1:12" ht="30" customHeight="1">
      <c r="A21" s="18" t="s">
        <v>2</v>
      </c>
      <c r="B21" s="23"/>
      <c r="C21" s="79"/>
      <c r="D21" s="79"/>
      <c r="E21" s="79"/>
      <c r="F21" s="79"/>
      <c r="G21" s="79"/>
      <c r="H21" s="79"/>
      <c r="I21" s="23"/>
      <c r="J21" s="10"/>
      <c r="K21" s="11"/>
      <c r="L21" s="1"/>
    </row>
    <row r="22" spans="1:12" ht="30" customHeight="1">
      <c r="A22" s="18" t="s">
        <v>1</v>
      </c>
      <c r="B22" s="21"/>
      <c r="C22" s="82"/>
      <c r="D22" s="82"/>
      <c r="E22" s="82"/>
      <c r="F22" s="82"/>
      <c r="G22" s="82"/>
      <c r="H22" s="82"/>
      <c r="I22" s="32"/>
      <c r="J22" s="10"/>
      <c r="K22" s="11"/>
      <c r="L22" s="1"/>
    </row>
    <row r="23" spans="1:12" ht="30" customHeight="1">
      <c r="A23" s="18" t="s">
        <v>2</v>
      </c>
      <c r="B23" s="23"/>
      <c r="C23" s="79"/>
      <c r="D23" s="79"/>
      <c r="E23" s="79"/>
      <c r="F23" s="79"/>
      <c r="G23" s="79"/>
      <c r="H23" s="79"/>
      <c r="I23" s="23"/>
      <c r="J23" s="10"/>
      <c r="K23" s="11"/>
      <c r="L23" s="1"/>
    </row>
    <row r="24" spans="1:12" ht="30" customHeight="1">
      <c r="A24" s="18" t="s">
        <v>1</v>
      </c>
      <c r="B24" s="21" t="s">
        <v>10</v>
      </c>
      <c r="C24" s="82"/>
      <c r="D24" s="82"/>
      <c r="E24" s="82" t="s">
        <v>10</v>
      </c>
      <c r="F24" s="82"/>
      <c r="G24" s="82"/>
      <c r="H24" s="82"/>
      <c r="I24" s="32" t="s">
        <v>10</v>
      </c>
      <c r="J24" s="10"/>
      <c r="K24" s="11"/>
      <c r="L24" s="1"/>
    </row>
    <row r="25" spans="1:12" ht="30" customHeight="1">
      <c r="A25" s="18" t="s">
        <v>2</v>
      </c>
      <c r="B25" s="23" t="s">
        <v>11</v>
      </c>
      <c r="C25" s="79"/>
      <c r="D25" s="79"/>
      <c r="E25" s="79" t="s">
        <v>11</v>
      </c>
      <c r="F25" s="79"/>
      <c r="G25" s="79"/>
      <c r="H25" s="79"/>
      <c r="I25" s="23" t="s">
        <v>11</v>
      </c>
      <c r="J25" s="13"/>
      <c r="K25" s="14"/>
      <c r="L25" s="15"/>
    </row>
    <row r="26" spans="1:12" ht="30" customHeight="1">
      <c r="A26" s="18" t="s">
        <v>1</v>
      </c>
      <c r="B26" s="21"/>
      <c r="C26" s="82"/>
      <c r="D26" s="82"/>
      <c r="E26" s="82"/>
      <c r="F26" s="82"/>
      <c r="G26" s="82"/>
      <c r="H26" s="82"/>
      <c r="I26" s="32"/>
      <c r="J26" s="10" t="s">
        <v>21</v>
      </c>
      <c r="K26" s="35"/>
      <c r="L26" s="1"/>
    </row>
    <row r="27" spans="1:12" ht="30" customHeight="1">
      <c r="A27" s="18" t="s">
        <v>2</v>
      </c>
      <c r="B27" s="23"/>
      <c r="C27" s="79"/>
      <c r="D27" s="79"/>
      <c r="E27" s="79"/>
      <c r="F27" s="79"/>
      <c r="G27" s="79"/>
      <c r="H27" s="79"/>
      <c r="I27" s="23"/>
      <c r="J27" s="10"/>
      <c r="K27" s="11"/>
      <c r="L27" s="1"/>
    </row>
    <row r="28" spans="1:12" ht="30" customHeight="1">
      <c r="A28" s="18" t="s">
        <v>1</v>
      </c>
      <c r="B28" s="21"/>
      <c r="C28" s="82" t="s">
        <v>17</v>
      </c>
      <c r="D28" s="82"/>
      <c r="E28" s="82"/>
      <c r="F28" s="82"/>
      <c r="G28" s="82" t="s">
        <v>17</v>
      </c>
      <c r="H28" s="82"/>
      <c r="I28" s="32"/>
      <c r="J28" s="10"/>
      <c r="K28" s="11"/>
      <c r="L28" s="1"/>
    </row>
    <row r="29" spans="1:12" ht="30" customHeight="1">
      <c r="A29" s="18" t="s">
        <v>2</v>
      </c>
      <c r="B29" s="23"/>
      <c r="C29" s="79" t="s">
        <v>18</v>
      </c>
      <c r="D29" s="79"/>
      <c r="E29" s="79"/>
      <c r="F29" s="79"/>
      <c r="G29" s="79" t="s">
        <v>18</v>
      </c>
      <c r="H29" s="79"/>
      <c r="I29" s="23"/>
      <c r="J29" s="10"/>
      <c r="K29" s="11"/>
      <c r="L29" s="1"/>
    </row>
    <row r="30" spans="1:12" ht="30" customHeight="1">
      <c r="A30" s="18" t="s">
        <v>1</v>
      </c>
      <c r="B30" s="21"/>
      <c r="C30" s="82"/>
      <c r="D30" s="82"/>
      <c r="E30" s="82"/>
      <c r="F30" s="82"/>
      <c r="G30" s="82"/>
      <c r="H30" s="82"/>
      <c r="I30" s="32"/>
      <c r="J30" s="10"/>
      <c r="K30" s="11"/>
      <c r="L30" s="1"/>
    </row>
    <row r="31" spans="1:12" ht="30" customHeight="1">
      <c r="A31" s="18" t="s">
        <v>2</v>
      </c>
      <c r="B31" s="46"/>
      <c r="C31" s="84"/>
      <c r="D31" s="84"/>
      <c r="E31" s="84"/>
      <c r="F31" s="84"/>
      <c r="G31" s="84"/>
      <c r="H31" s="84"/>
      <c r="I31" s="27"/>
      <c r="J31" s="10"/>
      <c r="K31" s="14"/>
      <c r="L31" s="1"/>
    </row>
  </sheetData>
  <mergeCells count="63"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6:D16"/>
    <mergeCell ref="E16:F16"/>
    <mergeCell ref="G16:H16"/>
    <mergeCell ref="C14:D14"/>
    <mergeCell ref="E14:F14"/>
    <mergeCell ref="G14:H14"/>
    <mergeCell ref="C15:D15"/>
    <mergeCell ref="E15:F15"/>
    <mergeCell ref="G15:H15"/>
    <mergeCell ref="C17:D17"/>
    <mergeCell ref="E17:F17"/>
    <mergeCell ref="G17:H17"/>
    <mergeCell ref="C18:D18"/>
    <mergeCell ref="E18:F18"/>
    <mergeCell ref="G18:H18"/>
    <mergeCell ref="C21:D21"/>
    <mergeCell ref="E21:F21"/>
    <mergeCell ref="G21:H21"/>
    <mergeCell ref="C19:D19"/>
    <mergeCell ref="E19:F19"/>
    <mergeCell ref="G19:H19"/>
    <mergeCell ref="C20:D20"/>
    <mergeCell ref="E20:F20"/>
    <mergeCell ref="G20:H20"/>
    <mergeCell ref="C22:D22"/>
    <mergeCell ref="E22:F22"/>
    <mergeCell ref="G22:H22"/>
    <mergeCell ref="C23:D23"/>
    <mergeCell ref="E23:F23"/>
    <mergeCell ref="G23:H23"/>
    <mergeCell ref="C24:D24"/>
    <mergeCell ref="E24:F24"/>
    <mergeCell ref="G24:H24"/>
    <mergeCell ref="C25:D25"/>
    <mergeCell ref="E25:F25"/>
    <mergeCell ref="G25:H25"/>
    <mergeCell ref="C28:D28"/>
    <mergeCell ref="E28:F28"/>
    <mergeCell ref="G28:H28"/>
    <mergeCell ref="C26:D26"/>
    <mergeCell ref="E26:F26"/>
    <mergeCell ref="G26:H26"/>
    <mergeCell ref="C27:D27"/>
    <mergeCell ref="E27:F27"/>
    <mergeCell ref="G27:H27"/>
    <mergeCell ref="C31:D31"/>
    <mergeCell ref="E31:F31"/>
    <mergeCell ref="G31:H31"/>
    <mergeCell ref="C29:D29"/>
    <mergeCell ref="E29:F29"/>
    <mergeCell ref="G29:H29"/>
    <mergeCell ref="C30:D30"/>
    <mergeCell ref="E30:F30"/>
    <mergeCell ref="G30:H30"/>
  </mergeCells>
  <phoneticPr fontId="31" type="noConversion"/>
  <conditionalFormatting sqref="B12:I12 B14:I14 B16:I16 B18:I18 B20:I20 B22:I22 B24:I24 B26:I26 B28:I28 B30:I30">
    <cfRule type="expression" dxfId="34" priority="6">
      <formula>B12&lt;&gt;""</formula>
    </cfRule>
  </conditionalFormatting>
  <conditionalFormatting sqref="B12:I31">
    <cfRule type="expression" dxfId="33" priority="1">
      <formula>COLUMN(B12)&gt;2</formula>
    </cfRule>
  </conditionalFormatting>
  <conditionalFormatting sqref="B13:I13 B15:I15 B17:I17 B19:I19 B21:I21 B23:I23 B25:I25 B27:I27 B29:I29 B31:I31">
    <cfRule type="expression" dxfId="32" priority="7">
      <formula>B13&lt;&gt;""</formula>
    </cfRule>
  </conditionalFormatting>
  <conditionalFormatting sqref="B13:I13 B15:I15 B17:I17 B19:I19 B21:I21 B23:I23 B25:I25 B27:I27 B29:I29">
    <cfRule type="expression" dxfId="31" priority="4">
      <formula>COLUMN(B12)&gt;=2</formula>
    </cfRule>
  </conditionalFormatting>
  <conditionalFormatting sqref="C3:H3">
    <cfRule type="expression" dxfId="30" priority="9" stopIfTrue="1">
      <formula>DAY(C3)&gt;8</formula>
    </cfRule>
  </conditionalFormatting>
  <conditionalFormatting sqref="C3:I8">
    <cfRule type="expression" dxfId="29" priority="10">
      <formula>VLOOKUP(DAY(C3),作業日期,1,FALSE)=DAY(C3)</formula>
    </cfRule>
  </conditionalFormatting>
  <conditionalFormatting sqref="C7:I8">
    <cfRule type="expression" dxfId="28" priority="8" stopIfTrue="1">
      <formula>AND(DAY(C7)&gt;=1,DAY(C7)&lt;=15)</formula>
    </cfRule>
  </conditionalFormatting>
  <dataValidations xWindow="95" yWindow="532" count="13">
    <dataValidation allowBlank="1" showInputMessage="1" showErrorMessage="1" prompt="2 月行事曆會自動醒目提示當月的作業清單項目。較深色的字型表示該日期有作業。較淺色的字型表示屬於上個月或下個月的日期" sqref="B2" xr:uid="{00000000-0002-0000-0100-000000000000}"/>
    <dataValidation allowBlank="1" showInputMessage="1" showErrorMessage="1" prompt="行事曆年份會自動更新。若要變更年份，請更新 [1 月] 工作表中的儲存格 B1" sqref="B1" xr:uid="{00000000-0002-0000-0100-000001000000}"/>
    <dataValidation allowBlank="1" showInputMessage="1" showErrorMessage="1" prompt="在此工作表中排定每週課表與建立作業清單。在 [1 月] 工作表的儲存格 B1 中輸入之年份的每月行事曆中，會自動醒目提示相關作業" sqref="A1" xr:uid="{00000000-0002-0000-0100-000002000000}"/>
    <dataValidation allowBlank="1" showInputMessage="1" showErrorMessage="1" prompt="儲存格 C2:I2 包含工作日" sqref="C2:D2" xr:uid="{F4460F35-27AF-4DD6-A558-71D9F4511F63}"/>
    <dataValidation allowBlank="1" showInputMessage="1" showErrorMessage="1" prompt="如果此儲存格中沒有數字 1，就表示它是上個月的日期。儲存格 C3:I8 包含當月的日期" sqref="C3" xr:uid="{00000000-0002-0000-0100-000004000000}"/>
    <dataValidation allowBlank="1" showInputMessage="1" showErrorMessage="1" prompt="如果此列中的數字小於前面的數字或前一列的數字，則此列會包含下個行事曆月份的日期" sqref="C8" xr:uid="{00000000-0002-0000-0100-000005000000}"/>
    <dataValidation allowBlank="1" showInputMessage="1" showErrorMessage="1" prompt="在此列的欄 B 到欄 I 中輸入時間" sqref="B12" xr:uid="{00000000-0002-0000-0100-000006000000}"/>
    <dataValidation allowBlank="1" showInputMessage="1" showErrorMessage="1" prompt="在此列的欄 B 到欄 I 中輸入課程" sqref="B13" xr:uid="{00000000-0002-0000-0100-000007000000}"/>
    <dataValidation allowBlank="1" showInputMessage="1" showErrorMessage="1" prompt="此欄依星期幾分組，每組包含 6 個列，用於記錄當月依每個星期幾分組的作業。插入新列即可新增更多作業。左側的行事曆會醒目提示相關項目" sqref="J1" xr:uid="{00000000-0002-0000-0100-000008000000}"/>
    <dataValidation allowBlank="1" showInputMessage="1" showErrorMessage="1" prompt="在此欄中輸入與左側行事曆月份欄 J 中的星期幾以及欄 K 中的日期相對應的作業詳細資料" sqref="L1" xr:uid="{00000000-0002-0000-0100-000009000000}"/>
    <dataValidation allowBlank="1" showInputMessage="1" showErrorMessage="1" prompt="在此欄中輸入與欄 J 中的星期幾相對應的當月作業日期。左側行事曆中的這個日期會醒目提示相關作業" sqref="K1" xr:uid="{00000000-0002-0000-0100-00000A000000}"/>
    <dataValidation allowBlank="1" showInputMessage="1" showErrorMessage="1" prompt="此列為星期幾，包括星期一到星期五" sqref="B11" xr:uid="{00000000-0002-0000-0100-00000B000000}"/>
    <dataValidation allowBlank="1" showInputMessage="1" showErrorMessage="1" prompt="輸入課程的時間，並在底下新列中的欄 B 到欄 I 的每個星期幾中輸入課程名稱。在後續各列中，針對所有課程重複此輸入方式" sqref="B10" xr:uid="{00000000-0002-0000-0100-00000C000000}"/>
  </dataValidations>
  <printOptions horizontalCentered="1" verticalCentered="1"/>
  <pageMargins left="0.5" right="0.5" top="0.5" bottom="0.5" header="0.3" footer="0.3"/>
  <pageSetup paperSize="9" scale="56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pageSetUpPr fitToPage="1"/>
  </sheetPr>
  <dimension ref="A1:L31"/>
  <sheetViews>
    <sheetView showGridLines="0" zoomScaleNormal="100" zoomScalePageLayoutView="84" workbookViewId="0"/>
  </sheetViews>
  <sheetFormatPr defaultColWidth="8.796875" defaultRowHeight="30" customHeight="1"/>
  <cols>
    <col min="1" max="1" width="2.796875" style="4" customWidth="1"/>
    <col min="2" max="2" width="20.796875" style="1" customWidth="1"/>
    <col min="3" max="8" width="10.796875" style="4" customWidth="1"/>
    <col min="9" max="9" width="20.796875" style="4" customWidth="1"/>
    <col min="10" max="10" width="10.796875" style="1" customWidth="1"/>
    <col min="11" max="11" width="10.796875" style="4" customWidth="1"/>
    <col min="12" max="12" width="70.796875" style="4" customWidth="1"/>
    <col min="13" max="13" width="2.796875" style="4" customWidth="1"/>
    <col min="14" max="16384" width="8.796875" style="4"/>
  </cols>
  <sheetData>
    <row r="1" spans="1:12" ht="30" customHeight="1">
      <c r="A1" s="1"/>
      <c r="B1" s="29">
        <f>_xlfn.SINGLE(行事曆年份)</f>
        <v>2026</v>
      </c>
      <c r="J1" s="5" t="s">
        <v>23</v>
      </c>
      <c r="K1" s="5" t="s">
        <v>24</v>
      </c>
      <c r="L1" s="6" t="s">
        <v>25</v>
      </c>
    </row>
    <row r="2" spans="1:12" ht="30" customHeight="1">
      <c r="A2" s="7"/>
      <c r="B2" s="30" t="s">
        <v>29</v>
      </c>
      <c r="C2" s="9" t="s">
        <v>13</v>
      </c>
      <c r="D2" s="9" t="s">
        <v>5</v>
      </c>
      <c r="E2" s="9" t="s">
        <v>14</v>
      </c>
      <c r="F2" s="9" t="s">
        <v>19</v>
      </c>
      <c r="G2" s="9" t="s">
        <v>20</v>
      </c>
      <c r="H2" s="9" t="s">
        <v>21</v>
      </c>
      <c r="I2" s="9" t="s">
        <v>22</v>
      </c>
      <c r="J2" s="10" t="s">
        <v>5</v>
      </c>
      <c r="K2" s="35"/>
    </row>
    <row r="3" spans="1:12" ht="30" customHeight="1">
      <c r="A3" s="7"/>
      <c r="C3" s="47">
        <f>IF(DAY(MarSun1)=1,MarSun1-6,MarSun1+1)</f>
        <v>46082</v>
      </c>
      <c r="D3" s="47">
        <f>IF(DAY(MarSun1)=1,MarSun1-5,MarSun1+2)</f>
        <v>46083</v>
      </c>
      <c r="E3" s="47">
        <f>IF(DAY(MarSun1)=1,MarSun1-4,MarSun1+3)</f>
        <v>46084</v>
      </c>
      <c r="F3" s="47">
        <f>IF(DAY(MarSun1)=1,MarSun1-3,MarSun1+4)</f>
        <v>46085</v>
      </c>
      <c r="G3" s="47">
        <f>IF(DAY(MarSun1)=1,MarSun1-2,MarSun1+5)</f>
        <v>46086</v>
      </c>
      <c r="H3" s="47">
        <f>IF(DAY(MarSun1)=1,MarSun1-1,MarSun1+6)</f>
        <v>46087</v>
      </c>
      <c r="I3" s="47">
        <f>IF(DAY(MarSun1)=1,MarSun1,MarSun1+7)</f>
        <v>46088</v>
      </c>
      <c r="J3" s="10"/>
      <c r="K3" s="11"/>
    </row>
    <row r="4" spans="1:12" ht="30" customHeight="1">
      <c r="A4" s="7"/>
      <c r="C4" s="47">
        <f>IF(DAY(MarSun1)=1,MarSun1+1,MarSun1+8)</f>
        <v>46089</v>
      </c>
      <c r="D4" s="47">
        <f>IF(DAY(MarSun1)=1,MarSun1+2,MarSun1+9)</f>
        <v>46090</v>
      </c>
      <c r="E4" s="47">
        <f>IF(DAY(MarSun1)=1,MarSun1+3,MarSun1+10)</f>
        <v>46091</v>
      </c>
      <c r="F4" s="47">
        <f>IF(DAY(MarSun1)=1,MarSun1+4,MarSun1+11)</f>
        <v>46092</v>
      </c>
      <c r="G4" s="47">
        <f>IF(DAY(MarSun1)=1,MarSun1+5,MarSun1+12)</f>
        <v>46093</v>
      </c>
      <c r="H4" s="47">
        <f>IF(DAY(MarSun1)=1,MarSun1+6,MarSun1+13)</f>
        <v>46094</v>
      </c>
      <c r="I4" s="47">
        <f>IF(DAY(MarSun1)=1,MarSun1+7,MarSun1+14)</f>
        <v>46095</v>
      </c>
      <c r="J4" s="10"/>
      <c r="K4" s="11"/>
    </row>
    <row r="5" spans="1:12" ht="30" customHeight="1">
      <c r="A5" s="7"/>
      <c r="C5" s="47">
        <f>IF(DAY(MarSun1)=1,MarSun1+8,MarSun1+15)</f>
        <v>46096</v>
      </c>
      <c r="D5" s="47">
        <f>IF(DAY(MarSun1)=1,MarSun1+9,MarSun1+16)</f>
        <v>46097</v>
      </c>
      <c r="E5" s="47">
        <f>IF(DAY(MarSun1)=1,MarSun1+10,MarSun1+17)</f>
        <v>46098</v>
      </c>
      <c r="F5" s="47">
        <f>IF(DAY(MarSun1)=1,MarSun1+11,MarSun1+18)</f>
        <v>46099</v>
      </c>
      <c r="G5" s="47">
        <f>IF(DAY(MarSun1)=1,MarSun1+12,MarSun1+19)</f>
        <v>46100</v>
      </c>
      <c r="H5" s="47">
        <f>IF(DAY(MarSun1)=1,MarSun1+13,MarSun1+20)</f>
        <v>46101</v>
      </c>
      <c r="I5" s="47">
        <f>IF(DAY(MarSun1)=1,MarSun1+14,MarSun1+21)</f>
        <v>46102</v>
      </c>
      <c r="J5" s="10"/>
      <c r="K5" s="11"/>
    </row>
    <row r="6" spans="1:12" ht="30" customHeight="1">
      <c r="A6" s="7"/>
      <c r="C6" s="47">
        <f>IF(DAY(MarSun1)=1,MarSun1+15,MarSun1+22)</f>
        <v>46103</v>
      </c>
      <c r="D6" s="47">
        <f>IF(DAY(MarSun1)=1,MarSun1+16,MarSun1+23)</f>
        <v>46104</v>
      </c>
      <c r="E6" s="47">
        <f>IF(DAY(MarSun1)=1,MarSun1+17,MarSun1+24)</f>
        <v>46105</v>
      </c>
      <c r="F6" s="47">
        <f>IF(DAY(MarSun1)=1,MarSun1+18,MarSun1+25)</f>
        <v>46106</v>
      </c>
      <c r="G6" s="47">
        <f>IF(DAY(MarSun1)=1,MarSun1+19,MarSun1+26)</f>
        <v>46107</v>
      </c>
      <c r="H6" s="47">
        <f>IF(DAY(MarSun1)=1,MarSun1+20,MarSun1+27)</f>
        <v>46108</v>
      </c>
      <c r="I6" s="47">
        <f>IF(DAY(MarSun1)=1,MarSun1+21,MarSun1+28)</f>
        <v>46109</v>
      </c>
      <c r="J6" s="10"/>
      <c r="K6" s="11"/>
    </row>
    <row r="7" spans="1:12" ht="30" customHeight="1">
      <c r="A7" s="7"/>
      <c r="C7" s="47">
        <f>IF(DAY(MarSun1)=1,MarSun1+22,MarSun1+29)</f>
        <v>46110</v>
      </c>
      <c r="D7" s="47">
        <f>IF(DAY(MarSun1)=1,MarSun1+23,MarSun1+30)</f>
        <v>46111</v>
      </c>
      <c r="E7" s="47">
        <f>IF(DAY(MarSun1)=1,MarSun1+24,MarSun1+31)</f>
        <v>46112</v>
      </c>
      <c r="F7" s="47">
        <f>IF(DAY(MarSun1)=1,MarSun1+25,MarSun1+32)</f>
        <v>46113</v>
      </c>
      <c r="G7" s="47">
        <f>IF(DAY(MarSun1)=1,MarSun1+26,MarSun1+33)</f>
        <v>46114</v>
      </c>
      <c r="H7" s="47">
        <f>IF(DAY(MarSun1)=1,MarSun1+27,MarSun1+34)</f>
        <v>46115</v>
      </c>
      <c r="I7" s="47">
        <f>IF(DAY(MarSun1)=1,MarSun1+28,MarSun1+35)</f>
        <v>46116</v>
      </c>
      <c r="J7" s="36"/>
      <c r="K7" s="37"/>
      <c r="L7" s="26"/>
    </row>
    <row r="8" spans="1:12" ht="30" customHeight="1">
      <c r="A8" s="7"/>
      <c r="B8" s="15"/>
      <c r="C8" s="47">
        <f>IF(DAY(MarSun1)=1,MarSun1+29,MarSun1+36)</f>
        <v>46117</v>
      </c>
      <c r="D8" s="47">
        <f>IF(DAY(MarSun1)=1,MarSun1+30,MarSun1+37)</f>
        <v>46118</v>
      </c>
      <c r="E8" s="47">
        <f>IF(DAY(MarSun1)=1,MarSun1+31,MarSun1+38)</f>
        <v>46119</v>
      </c>
      <c r="F8" s="47">
        <f>IF(DAY(MarSun1)=1,MarSun1+32,MarSun1+39)</f>
        <v>46120</v>
      </c>
      <c r="G8" s="47">
        <f>IF(DAY(MarSun1)=1,MarSun1+33,MarSun1+40)</f>
        <v>46121</v>
      </c>
      <c r="H8" s="47">
        <f>IF(DAY(MarSun1)=1,MarSun1+34,MarSun1+41)</f>
        <v>46122</v>
      </c>
      <c r="I8" s="47">
        <f>IF(DAY(MarSun1)=1,MarSun1+35,MarSun1+42)</f>
        <v>46123</v>
      </c>
      <c r="J8" s="10" t="s">
        <v>14</v>
      </c>
      <c r="K8" s="35"/>
    </row>
    <row r="9" spans="1:12" ht="30" customHeight="1">
      <c r="A9" s="7"/>
      <c r="C9" s="31"/>
      <c r="D9" s="31"/>
      <c r="E9" s="31"/>
      <c r="F9" s="31"/>
      <c r="G9" s="31"/>
      <c r="H9" s="31"/>
      <c r="I9" s="31"/>
      <c r="J9" s="10"/>
      <c r="K9" s="11"/>
    </row>
    <row r="10" spans="1:12" ht="30" customHeight="1">
      <c r="A10" s="7"/>
      <c r="B10" s="16" t="s">
        <v>4</v>
      </c>
      <c r="C10" s="17"/>
      <c r="D10" s="17"/>
      <c r="E10" s="17"/>
      <c r="F10" s="17"/>
      <c r="G10" s="17"/>
      <c r="H10" s="17"/>
      <c r="I10" s="17"/>
      <c r="J10" s="10"/>
      <c r="K10" s="11"/>
    </row>
    <row r="11" spans="1:12" ht="30" customHeight="1">
      <c r="A11" s="18" t="s">
        <v>23</v>
      </c>
      <c r="B11" s="19" t="s">
        <v>5</v>
      </c>
      <c r="C11" s="76" t="s">
        <v>14</v>
      </c>
      <c r="D11" s="77"/>
      <c r="E11" s="76" t="s">
        <v>19</v>
      </c>
      <c r="F11" s="77"/>
      <c r="G11" s="76" t="s">
        <v>20</v>
      </c>
      <c r="H11" s="77"/>
      <c r="I11" s="20" t="s">
        <v>21</v>
      </c>
      <c r="J11" s="10"/>
      <c r="K11" s="11"/>
    </row>
    <row r="12" spans="1:12" ht="30" customHeight="1">
      <c r="A12" s="18" t="s">
        <v>1</v>
      </c>
      <c r="B12" s="21" t="s">
        <v>6</v>
      </c>
      <c r="C12" s="78"/>
      <c r="D12" s="78"/>
      <c r="E12" s="78" t="s">
        <v>6</v>
      </c>
      <c r="F12" s="78"/>
      <c r="G12" s="78"/>
      <c r="H12" s="78"/>
      <c r="I12" s="32" t="s">
        <v>6</v>
      </c>
      <c r="J12" s="10"/>
      <c r="K12" s="11"/>
    </row>
    <row r="13" spans="1:12" ht="30" customHeight="1">
      <c r="A13" s="18" t="s">
        <v>2</v>
      </c>
      <c r="B13" s="23" t="s">
        <v>7</v>
      </c>
      <c r="C13" s="79"/>
      <c r="D13" s="79"/>
      <c r="E13" s="79" t="s">
        <v>7</v>
      </c>
      <c r="F13" s="79"/>
      <c r="G13" s="79"/>
      <c r="H13" s="79"/>
      <c r="I13" s="23" t="s">
        <v>7</v>
      </c>
      <c r="J13" s="36"/>
      <c r="K13" s="37"/>
      <c r="L13" s="26"/>
    </row>
    <row r="14" spans="1:12" ht="30" customHeight="1">
      <c r="A14" s="18" t="s">
        <v>1</v>
      </c>
      <c r="B14" s="21"/>
      <c r="C14" s="78" t="s">
        <v>15</v>
      </c>
      <c r="D14" s="78"/>
      <c r="E14" s="78"/>
      <c r="F14" s="78"/>
      <c r="G14" s="78" t="s">
        <v>15</v>
      </c>
      <c r="H14" s="78"/>
      <c r="I14" s="32"/>
      <c r="J14" s="10" t="s">
        <v>19</v>
      </c>
      <c r="K14" s="35"/>
    </row>
    <row r="15" spans="1:12" ht="30" customHeight="1">
      <c r="A15" s="18" t="s">
        <v>2</v>
      </c>
      <c r="B15" s="23"/>
      <c r="C15" s="79" t="s">
        <v>16</v>
      </c>
      <c r="D15" s="79"/>
      <c r="E15" s="79"/>
      <c r="F15" s="79"/>
      <c r="G15" s="79" t="s">
        <v>16</v>
      </c>
      <c r="H15" s="79"/>
      <c r="I15" s="23"/>
      <c r="J15" s="10"/>
      <c r="K15" s="11"/>
    </row>
    <row r="16" spans="1:12" ht="30" customHeight="1">
      <c r="A16" s="18" t="s">
        <v>1</v>
      </c>
      <c r="B16" s="21" t="s">
        <v>8</v>
      </c>
      <c r="C16" s="78"/>
      <c r="D16" s="78"/>
      <c r="E16" s="78" t="s">
        <v>8</v>
      </c>
      <c r="F16" s="78"/>
      <c r="G16" s="78"/>
      <c r="H16" s="78"/>
      <c r="I16" s="33" t="s">
        <v>8</v>
      </c>
      <c r="J16" s="10"/>
      <c r="K16" s="11"/>
    </row>
    <row r="17" spans="1:12" ht="30" customHeight="1">
      <c r="A17" s="18" t="s">
        <v>2</v>
      </c>
      <c r="B17" s="23" t="s">
        <v>9</v>
      </c>
      <c r="C17" s="79"/>
      <c r="D17" s="79"/>
      <c r="E17" s="79" t="s">
        <v>9</v>
      </c>
      <c r="F17" s="79"/>
      <c r="G17" s="79"/>
      <c r="H17" s="79"/>
      <c r="I17" s="23" t="s">
        <v>9</v>
      </c>
      <c r="J17" s="10"/>
      <c r="K17" s="11"/>
    </row>
    <row r="18" spans="1:12" ht="30" customHeight="1">
      <c r="A18" s="18" t="s">
        <v>1</v>
      </c>
      <c r="B18" s="21"/>
      <c r="C18" s="78"/>
      <c r="D18" s="78"/>
      <c r="E18" s="78"/>
      <c r="F18" s="78"/>
      <c r="G18" s="78"/>
      <c r="H18" s="78"/>
      <c r="I18" s="32"/>
      <c r="J18" s="10"/>
      <c r="K18" s="11"/>
    </row>
    <row r="19" spans="1:12" ht="30" customHeight="1">
      <c r="A19" s="18" t="s">
        <v>2</v>
      </c>
      <c r="B19" s="23"/>
      <c r="C19" s="79"/>
      <c r="D19" s="79"/>
      <c r="E19" s="79"/>
      <c r="F19" s="79"/>
      <c r="G19" s="79"/>
      <c r="H19" s="79"/>
      <c r="I19" s="34"/>
      <c r="J19" s="36"/>
      <c r="K19" s="37"/>
      <c r="L19" s="38"/>
    </row>
    <row r="20" spans="1:12" ht="30" customHeight="1">
      <c r="A20" s="18" t="s">
        <v>1</v>
      </c>
      <c r="B20" s="21"/>
      <c r="C20" s="78"/>
      <c r="D20" s="78"/>
      <c r="E20" s="78"/>
      <c r="F20" s="78"/>
      <c r="G20" s="78"/>
      <c r="H20" s="78"/>
      <c r="I20" s="32"/>
      <c r="J20" s="10" t="s">
        <v>20</v>
      </c>
      <c r="K20" s="35"/>
    </row>
    <row r="21" spans="1:12" ht="30" customHeight="1">
      <c r="A21" s="18" t="s">
        <v>2</v>
      </c>
      <c r="B21" s="23"/>
      <c r="C21" s="79"/>
      <c r="D21" s="79"/>
      <c r="E21" s="79"/>
      <c r="F21" s="79"/>
      <c r="G21" s="79"/>
      <c r="H21" s="79"/>
      <c r="I21" s="23"/>
      <c r="J21" s="10"/>
      <c r="K21" s="11"/>
    </row>
    <row r="22" spans="1:12" ht="30" customHeight="1">
      <c r="A22" s="18" t="s">
        <v>1</v>
      </c>
      <c r="B22" s="21"/>
      <c r="C22" s="78"/>
      <c r="D22" s="78"/>
      <c r="E22" s="78"/>
      <c r="F22" s="78"/>
      <c r="G22" s="78"/>
      <c r="H22" s="78"/>
      <c r="I22" s="32"/>
      <c r="J22" s="10"/>
      <c r="K22" s="11"/>
    </row>
    <row r="23" spans="1:12" ht="30" customHeight="1">
      <c r="A23" s="18" t="s">
        <v>2</v>
      </c>
      <c r="B23" s="23"/>
      <c r="C23" s="79"/>
      <c r="D23" s="79"/>
      <c r="E23" s="79"/>
      <c r="F23" s="79"/>
      <c r="G23" s="79"/>
      <c r="H23" s="79"/>
      <c r="I23" s="23"/>
      <c r="J23" s="10"/>
      <c r="K23" s="11"/>
    </row>
    <row r="24" spans="1:12" ht="30" customHeight="1">
      <c r="A24" s="18" t="s">
        <v>1</v>
      </c>
      <c r="B24" s="21" t="s">
        <v>10</v>
      </c>
      <c r="C24" s="78"/>
      <c r="D24" s="78"/>
      <c r="E24" s="78" t="s">
        <v>10</v>
      </c>
      <c r="F24" s="78"/>
      <c r="G24" s="78"/>
      <c r="H24" s="78"/>
      <c r="I24" s="32" t="s">
        <v>10</v>
      </c>
      <c r="J24" s="10"/>
      <c r="K24" s="11"/>
    </row>
    <row r="25" spans="1:12" ht="30" customHeight="1">
      <c r="A25" s="18" t="s">
        <v>2</v>
      </c>
      <c r="B25" s="23" t="s">
        <v>11</v>
      </c>
      <c r="C25" s="79"/>
      <c r="D25" s="79"/>
      <c r="E25" s="79" t="s">
        <v>11</v>
      </c>
      <c r="F25" s="79"/>
      <c r="G25" s="79"/>
      <c r="H25" s="79"/>
      <c r="I25" s="23" t="s">
        <v>11</v>
      </c>
      <c r="J25" s="36"/>
      <c r="K25" s="37"/>
      <c r="L25" s="38"/>
    </row>
    <row r="26" spans="1:12" ht="30" customHeight="1">
      <c r="A26" s="18" t="s">
        <v>1</v>
      </c>
      <c r="B26" s="21"/>
      <c r="C26" s="78"/>
      <c r="D26" s="78"/>
      <c r="E26" s="78"/>
      <c r="F26" s="78"/>
      <c r="G26" s="78"/>
      <c r="H26" s="78"/>
      <c r="I26" s="32"/>
      <c r="J26" s="10" t="s">
        <v>21</v>
      </c>
      <c r="K26" s="35"/>
    </row>
    <row r="27" spans="1:12" ht="30" customHeight="1">
      <c r="A27" s="18" t="s">
        <v>2</v>
      </c>
      <c r="B27" s="23"/>
      <c r="C27" s="79"/>
      <c r="D27" s="79"/>
      <c r="E27" s="79"/>
      <c r="F27" s="79"/>
      <c r="G27" s="79"/>
      <c r="H27" s="79"/>
      <c r="I27" s="23"/>
      <c r="J27" s="10"/>
      <c r="K27" s="11"/>
    </row>
    <row r="28" spans="1:12" ht="30" customHeight="1">
      <c r="A28" s="18" t="s">
        <v>1</v>
      </c>
      <c r="B28" s="21"/>
      <c r="C28" s="78" t="s">
        <v>17</v>
      </c>
      <c r="D28" s="78"/>
      <c r="E28" s="78"/>
      <c r="F28" s="78"/>
      <c r="G28" s="78" t="s">
        <v>17</v>
      </c>
      <c r="H28" s="78"/>
      <c r="I28" s="32"/>
      <c r="J28" s="10"/>
      <c r="K28" s="11"/>
    </row>
    <row r="29" spans="1:12" ht="30" customHeight="1">
      <c r="A29" s="18" t="s">
        <v>2</v>
      </c>
      <c r="B29" s="23"/>
      <c r="C29" s="79" t="s">
        <v>18</v>
      </c>
      <c r="D29" s="79"/>
      <c r="E29" s="79"/>
      <c r="F29" s="79"/>
      <c r="G29" s="79" t="s">
        <v>18</v>
      </c>
      <c r="H29" s="79"/>
      <c r="I29" s="23"/>
      <c r="J29" s="10"/>
      <c r="K29" s="11"/>
    </row>
    <row r="30" spans="1:12" ht="30" customHeight="1">
      <c r="A30" s="18" t="s">
        <v>1</v>
      </c>
      <c r="B30" s="21"/>
      <c r="C30" s="78"/>
      <c r="D30" s="78"/>
      <c r="E30" s="78"/>
      <c r="F30" s="78"/>
      <c r="G30" s="78"/>
      <c r="H30" s="78"/>
      <c r="I30" s="32"/>
      <c r="J30" s="10"/>
      <c r="K30" s="11"/>
    </row>
    <row r="31" spans="1:12" ht="30" customHeight="1">
      <c r="A31" s="18" t="s">
        <v>2</v>
      </c>
      <c r="B31" s="27"/>
      <c r="C31" s="80"/>
      <c r="D31" s="80"/>
      <c r="E31" s="80"/>
      <c r="F31" s="80"/>
      <c r="G31" s="80"/>
      <c r="H31" s="80"/>
      <c r="I31" s="27"/>
      <c r="J31" s="10"/>
      <c r="K31" s="14"/>
      <c r="L31" s="40"/>
    </row>
  </sheetData>
  <mergeCells count="63">
    <mergeCell ref="C31:D31"/>
    <mergeCell ref="E31:F31"/>
    <mergeCell ref="G31:H31"/>
    <mergeCell ref="C29:D29"/>
    <mergeCell ref="E29:F29"/>
    <mergeCell ref="G29:H29"/>
    <mergeCell ref="C30:D30"/>
    <mergeCell ref="E30:F30"/>
    <mergeCell ref="G30:H30"/>
    <mergeCell ref="C27:D27"/>
    <mergeCell ref="E27:F27"/>
    <mergeCell ref="G27:H27"/>
    <mergeCell ref="C28:D28"/>
    <mergeCell ref="E28:F28"/>
    <mergeCell ref="G28:H28"/>
    <mergeCell ref="C25:D25"/>
    <mergeCell ref="E25:F25"/>
    <mergeCell ref="G25:H25"/>
    <mergeCell ref="C26:D26"/>
    <mergeCell ref="E26:F26"/>
    <mergeCell ref="G26:H26"/>
    <mergeCell ref="C23:D23"/>
    <mergeCell ref="E23:F23"/>
    <mergeCell ref="G23:H23"/>
    <mergeCell ref="C24:D24"/>
    <mergeCell ref="E24:F24"/>
    <mergeCell ref="G24:H24"/>
    <mergeCell ref="C21:D21"/>
    <mergeCell ref="E21:F21"/>
    <mergeCell ref="G21:H21"/>
    <mergeCell ref="C22:D22"/>
    <mergeCell ref="E22:F22"/>
    <mergeCell ref="G22:H22"/>
    <mergeCell ref="C19:D19"/>
    <mergeCell ref="E19:F19"/>
    <mergeCell ref="G19:H19"/>
    <mergeCell ref="C20:D20"/>
    <mergeCell ref="E20:F20"/>
    <mergeCell ref="G20:H20"/>
    <mergeCell ref="C17:D17"/>
    <mergeCell ref="E17:F17"/>
    <mergeCell ref="G17:H17"/>
    <mergeCell ref="C18:D18"/>
    <mergeCell ref="E18:F18"/>
    <mergeCell ref="G18:H18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C11:D11"/>
    <mergeCell ref="E11:F11"/>
    <mergeCell ref="G11:H11"/>
    <mergeCell ref="C12:D12"/>
    <mergeCell ref="E12:F12"/>
    <mergeCell ref="G12:H12"/>
  </mergeCells>
  <phoneticPr fontId="31" type="noConversion"/>
  <conditionalFormatting sqref="B12:I12 B14:I14 B16:I16 B18:I18 B20:I20 B22:I22 B24:I24 B26:I26 B28:I28 B30:I30">
    <cfRule type="expression" dxfId="27" priority="3">
      <formula>B12&lt;&gt;""</formula>
    </cfRule>
  </conditionalFormatting>
  <conditionalFormatting sqref="B12:I31">
    <cfRule type="expression" dxfId="26" priority="1">
      <formula>COLUMN(B12)&gt;2</formula>
    </cfRule>
  </conditionalFormatting>
  <conditionalFormatting sqref="B13:I13 B15:I15 B17:I17 B19:I19 B21:I21 B23:I23 B25:I25 B27:I27 B29:I29 B31:I31">
    <cfRule type="expression" dxfId="25" priority="4">
      <formula>B13&lt;&gt;""</formula>
    </cfRule>
  </conditionalFormatting>
  <conditionalFormatting sqref="B13:I13 B15:I15 B17:I17 B19:I19 B21:I21 B23:I23 B25:I25 B27:I27 B29:I29">
    <cfRule type="expression" dxfId="24" priority="2">
      <formula>COLUMN(B12)&gt;=2</formula>
    </cfRule>
  </conditionalFormatting>
  <conditionalFormatting sqref="C3:H3">
    <cfRule type="expression" dxfId="23" priority="6" stopIfTrue="1">
      <formula>DAY(C3)&gt;8</formula>
    </cfRule>
  </conditionalFormatting>
  <conditionalFormatting sqref="C3:I8">
    <cfRule type="expression" dxfId="22" priority="7">
      <formula>VLOOKUP(DAY(C3),作業日期,1,FALSE)=DAY(C3)</formula>
    </cfRule>
  </conditionalFormatting>
  <conditionalFormatting sqref="C7:I8">
    <cfRule type="expression" dxfId="21" priority="5" stopIfTrue="1">
      <formula>AND(DAY(C7)&gt;=1,DAY(C7)&lt;=15)</formula>
    </cfRule>
  </conditionalFormatting>
  <dataValidations count="13">
    <dataValidation allowBlank="1" showInputMessage="1" showErrorMessage="1" prompt="在此列的欄 B 到欄 I 中輸入課程" sqref="B13" xr:uid="{00000000-0002-0000-0200-000000000000}"/>
    <dataValidation allowBlank="1" showInputMessage="1" showErrorMessage="1" prompt="在此列的欄 B 到欄 I 中輸入時間" sqref="B12" xr:uid="{00000000-0002-0000-0200-000001000000}"/>
    <dataValidation allowBlank="1" showInputMessage="1" showErrorMessage="1" prompt="如果此列中的數字小於前面的數字或前一列的數字，則此列會包含下個行事曆月份的日期" sqref="C8" xr:uid="{00000000-0002-0000-0200-000002000000}"/>
    <dataValidation allowBlank="1" showInputMessage="1" showErrorMessage="1" prompt="如果此儲存格中沒有數字 1，就表示它是上個月的日期。儲存格 C3:I8 包含當月的日期" sqref="C3" xr:uid="{00000000-0002-0000-0200-000003000000}"/>
    <dataValidation allowBlank="1" showInputMessage="1" showErrorMessage="1" prompt="儲存格 C2:I2 包含工作日" sqref="C2:D2" xr:uid="{F4754D66-A65D-4192-8F41-8E0ACB64EA36}"/>
    <dataValidation allowBlank="1" showInputMessage="1" showErrorMessage="1" prompt="在此工作表中排定每週課表與建立作業清單。在 [1 月] 工作表的儲存格 B1 中輸入之年份的每月行事曆中，會自動醒目提示相關作業" sqref="A1" xr:uid="{00000000-0002-0000-0200-000005000000}"/>
    <dataValidation allowBlank="1" showInputMessage="1" showErrorMessage="1" prompt="行事曆年份會自動更新。若要變更年份，請更新 [1 月] 工作表中的儲存格 B1" sqref="B1" xr:uid="{00000000-0002-0000-0200-000006000000}"/>
    <dataValidation allowBlank="1" showInputMessage="1" showErrorMessage="1" prompt="3 月行事曆會自動醒目提示當月的作業清單項目。較深色的字型表示該日期有作業。較淺色的字型表示屬於上個月或下個月的日期" sqref="B2" xr:uid="{00000000-0002-0000-0200-000007000000}"/>
    <dataValidation allowBlank="1" showInputMessage="1" showErrorMessage="1" prompt="此欄依星期幾分組，每組包含 6 個列，用於記錄當月依每個星期幾分組的作業。插入新列即可新增更多作業。左側的行事曆會醒目提示相關項目" sqref="J1" xr:uid="{00000000-0002-0000-0200-000008000000}"/>
    <dataValidation allowBlank="1" showInputMessage="1" showErrorMessage="1" prompt="在此欄中輸入與左側行事曆月份欄 J 中的星期幾以及欄 K 中的日期相對應的作業詳細資料" sqref="L1" xr:uid="{00000000-0002-0000-0200-000009000000}"/>
    <dataValidation allowBlank="1" showInputMessage="1" showErrorMessage="1" prompt="在此欄中輸入與欄 J 中的星期幾相對應的當月作業日期。左側行事曆中的這個日期會醒目提示相關作業" sqref="K1" xr:uid="{00000000-0002-0000-0200-00000A000000}"/>
    <dataValidation allowBlank="1" showInputMessage="1" showErrorMessage="1" prompt="此列為星期幾，包括星期一到星期五" sqref="B11" xr:uid="{00000000-0002-0000-0200-00000B000000}"/>
    <dataValidation allowBlank="1" showInputMessage="1" showErrorMessage="1" prompt="輸入課程的時間，並在底下新列中的欄 B 到欄 I 的每個星期幾中輸入課程名稱。在後續各列中，針對所有課程重複此輸入方式" sqref="B10" xr:uid="{00000000-0002-0000-0200-00000C000000}"/>
  </dataValidations>
  <printOptions horizontalCentered="1" verticalCentered="1"/>
  <pageMargins left="0.5" right="0.5" top="0.5" bottom="0.5" header="0.3" footer="0.3"/>
  <pageSetup paperSize="9" scale="56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pageSetUpPr fitToPage="1"/>
  </sheetPr>
  <dimension ref="A1:L31"/>
  <sheetViews>
    <sheetView showGridLines="0" zoomScaleNormal="100" zoomScalePageLayoutView="84" workbookViewId="0"/>
  </sheetViews>
  <sheetFormatPr defaultColWidth="8.796875" defaultRowHeight="30" customHeight="1"/>
  <cols>
    <col min="1" max="1" width="2.796875" style="4" customWidth="1"/>
    <col min="2" max="2" width="20.796875" style="1" customWidth="1"/>
    <col min="3" max="8" width="10.796875" style="4" customWidth="1"/>
    <col min="9" max="9" width="20.796875" style="4" customWidth="1"/>
    <col min="10" max="10" width="10.796875" style="10" customWidth="1"/>
    <col min="11" max="11" width="10.796875" style="4" customWidth="1"/>
    <col min="12" max="12" width="70.796875" style="4" customWidth="1"/>
    <col min="13" max="13" width="2.796875" style="4" customWidth="1"/>
    <col min="14" max="16384" width="8.796875" style="4"/>
  </cols>
  <sheetData>
    <row r="1" spans="1:12" ht="30" customHeight="1">
      <c r="A1" s="1"/>
      <c r="B1" s="29">
        <f>_xlfn.SINGLE(行事曆年份)</f>
        <v>2026</v>
      </c>
      <c r="J1" s="5" t="s">
        <v>23</v>
      </c>
      <c r="K1" s="5" t="s">
        <v>24</v>
      </c>
      <c r="L1" s="6" t="s">
        <v>25</v>
      </c>
    </row>
    <row r="2" spans="1:12" ht="30" customHeight="1">
      <c r="A2" s="7"/>
      <c r="B2" s="42" t="s">
        <v>30</v>
      </c>
      <c r="C2" s="9" t="s">
        <v>13</v>
      </c>
      <c r="D2" s="9" t="s">
        <v>5</v>
      </c>
      <c r="E2" s="9" t="s">
        <v>14</v>
      </c>
      <c r="F2" s="9" t="s">
        <v>19</v>
      </c>
      <c r="G2" s="9" t="s">
        <v>20</v>
      </c>
      <c r="H2" s="9" t="s">
        <v>21</v>
      </c>
      <c r="I2" s="9" t="s">
        <v>22</v>
      </c>
      <c r="J2" s="10" t="s">
        <v>5</v>
      </c>
      <c r="K2" s="35"/>
    </row>
    <row r="3" spans="1:12" ht="30" customHeight="1">
      <c r="A3" s="7"/>
      <c r="C3" s="47">
        <f>IF(DAY(AprSun1)=1,AprSun1-6,AprSun1+1)</f>
        <v>46110</v>
      </c>
      <c r="D3" s="47">
        <f>IF(DAY(AprSun1)=1,AprSun1-5,AprSun1+2)</f>
        <v>46111</v>
      </c>
      <c r="E3" s="47">
        <f>IF(DAY(AprSun1)=1,AprSun1-4,AprSun1+3)</f>
        <v>46112</v>
      </c>
      <c r="F3" s="47">
        <f>IF(DAY(AprSun1)=1,AprSun1-3,AprSun1+4)</f>
        <v>46113</v>
      </c>
      <c r="G3" s="47">
        <f>IF(DAY(AprSun1)=1,AprSun1-2,AprSun1+5)</f>
        <v>46114</v>
      </c>
      <c r="H3" s="47">
        <f>IF(DAY(AprSun1)=1,AprSun1-1,AprSun1+6)</f>
        <v>46115</v>
      </c>
      <c r="I3" s="47">
        <f>IF(DAY(AprSun1)=1,AprSun1,AprSun1+7)</f>
        <v>46116</v>
      </c>
      <c r="K3" s="11"/>
    </row>
    <row r="4" spans="1:12" ht="30" customHeight="1">
      <c r="A4" s="7"/>
      <c r="C4" s="47">
        <f>IF(DAY(AprSun1)=1,AprSun1+1,AprSun1+8)</f>
        <v>46117</v>
      </c>
      <c r="D4" s="47">
        <f>IF(DAY(AprSun1)=1,AprSun1+2,AprSun1+9)</f>
        <v>46118</v>
      </c>
      <c r="E4" s="47">
        <f>IF(DAY(AprSun1)=1,AprSun1+3,AprSun1+10)</f>
        <v>46119</v>
      </c>
      <c r="F4" s="47">
        <f>IF(DAY(AprSun1)=1,AprSun1+4,AprSun1+11)</f>
        <v>46120</v>
      </c>
      <c r="G4" s="47">
        <f>IF(DAY(AprSun1)=1,AprSun1+5,AprSun1+12)</f>
        <v>46121</v>
      </c>
      <c r="H4" s="47">
        <f>IF(DAY(AprSun1)=1,AprSun1+6,AprSun1+13)</f>
        <v>46122</v>
      </c>
      <c r="I4" s="47">
        <f>IF(DAY(AprSun1)=1,AprSun1+7,AprSun1+14)</f>
        <v>46123</v>
      </c>
      <c r="K4" s="11"/>
    </row>
    <row r="5" spans="1:12" ht="30" customHeight="1">
      <c r="A5" s="7"/>
      <c r="C5" s="47">
        <f>IF(DAY(AprSun1)=1,AprSun1+8,AprSun1+15)</f>
        <v>46124</v>
      </c>
      <c r="D5" s="47">
        <f>IF(DAY(AprSun1)=1,AprSun1+9,AprSun1+16)</f>
        <v>46125</v>
      </c>
      <c r="E5" s="47">
        <f>IF(DAY(AprSun1)=1,AprSun1+10,AprSun1+17)</f>
        <v>46126</v>
      </c>
      <c r="F5" s="47">
        <f>IF(DAY(AprSun1)=1,AprSun1+11,AprSun1+18)</f>
        <v>46127</v>
      </c>
      <c r="G5" s="47">
        <f>IF(DAY(AprSun1)=1,AprSun1+12,AprSun1+19)</f>
        <v>46128</v>
      </c>
      <c r="H5" s="47">
        <f>IF(DAY(AprSun1)=1,AprSun1+13,AprSun1+20)</f>
        <v>46129</v>
      </c>
      <c r="I5" s="47">
        <f>IF(DAY(AprSun1)=1,AprSun1+14,AprSun1+21)</f>
        <v>46130</v>
      </c>
      <c r="K5" s="11"/>
    </row>
    <row r="6" spans="1:12" ht="30" customHeight="1">
      <c r="A6" s="7"/>
      <c r="C6" s="47">
        <f>IF(DAY(AprSun1)=1,AprSun1+15,AprSun1+22)</f>
        <v>46131</v>
      </c>
      <c r="D6" s="47">
        <f>IF(DAY(AprSun1)=1,AprSun1+16,AprSun1+23)</f>
        <v>46132</v>
      </c>
      <c r="E6" s="47">
        <f>IF(DAY(AprSun1)=1,AprSun1+17,AprSun1+24)</f>
        <v>46133</v>
      </c>
      <c r="F6" s="47">
        <f>IF(DAY(AprSun1)=1,AprSun1+18,AprSun1+25)</f>
        <v>46134</v>
      </c>
      <c r="G6" s="47">
        <f>IF(DAY(AprSun1)=1,AprSun1+19,AprSun1+26)</f>
        <v>46135</v>
      </c>
      <c r="H6" s="47">
        <f>IF(DAY(AprSun1)=1,AprSun1+20,AprSun1+27)</f>
        <v>46136</v>
      </c>
      <c r="I6" s="47">
        <f>IF(DAY(AprSun1)=1,AprSun1+21,AprSun1+28)</f>
        <v>46137</v>
      </c>
      <c r="K6" s="11"/>
    </row>
    <row r="7" spans="1:12" ht="30" customHeight="1">
      <c r="A7" s="7"/>
      <c r="C7" s="47">
        <f>IF(DAY(AprSun1)=1,AprSun1+22,AprSun1+29)</f>
        <v>46138</v>
      </c>
      <c r="D7" s="47">
        <f>IF(DAY(AprSun1)=1,AprSun1+23,AprSun1+30)</f>
        <v>46139</v>
      </c>
      <c r="E7" s="47">
        <f>IF(DAY(AprSun1)=1,AprSun1+24,AprSun1+31)</f>
        <v>46140</v>
      </c>
      <c r="F7" s="47">
        <f>IF(DAY(AprSun1)=1,AprSun1+25,AprSun1+32)</f>
        <v>46141</v>
      </c>
      <c r="G7" s="47">
        <f>IF(DAY(AprSun1)=1,AprSun1+26,AprSun1+33)</f>
        <v>46142</v>
      </c>
      <c r="H7" s="47">
        <f>IF(DAY(AprSun1)=1,AprSun1+27,AprSun1+34)</f>
        <v>46143</v>
      </c>
      <c r="I7" s="47">
        <f>IF(DAY(AprSun1)=1,AprSun1+28,AprSun1+35)</f>
        <v>46144</v>
      </c>
      <c r="J7" s="36"/>
      <c r="K7" s="37"/>
      <c r="L7" s="26"/>
    </row>
    <row r="8" spans="1:12" ht="30" customHeight="1">
      <c r="A8" s="7"/>
      <c r="B8" s="15"/>
      <c r="C8" s="47">
        <f>IF(DAY(AprSun1)=1,AprSun1+29,AprSun1+36)</f>
        <v>46145</v>
      </c>
      <c r="D8" s="47">
        <f>IF(DAY(AprSun1)=1,AprSun1+30,AprSun1+37)</f>
        <v>46146</v>
      </c>
      <c r="E8" s="47">
        <f>IF(DAY(AprSun1)=1,AprSun1+31,AprSun1+38)</f>
        <v>46147</v>
      </c>
      <c r="F8" s="47">
        <f>IF(DAY(AprSun1)=1,AprSun1+32,AprSun1+39)</f>
        <v>46148</v>
      </c>
      <c r="G8" s="47">
        <f>IF(DAY(AprSun1)=1,AprSun1+33,AprSun1+40)</f>
        <v>46149</v>
      </c>
      <c r="H8" s="47">
        <f>IF(DAY(AprSun1)=1,AprSun1+34,AprSun1+41)</f>
        <v>46150</v>
      </c>
      <c r="I8" s="47">
        <f>IF(DAY(AprSun1)=1,AprSun1+35,AprSun1+42)</f>
        <v>46151</v>
      </c>
      <c r="J8" s="10" t="s">
        <v>14</v>
      </c>
      <c r="K8" s="35"/>
    </row>
    <row r="9" spans="1:12" ht="30" customHeight="1">
      <c r="A9" s="7"/>
      <c r="C9" s="31"/>
      <c r="D9" s="31"/>
      <c r="E9" s="31"/>
      <c r="F9" s="31"/>
      <c r="G9" s="31"/>
      <c r="H9" s="31"/>
      <c r="I9" s="31"/>
      <c r="K9" s="11"/>
    </row>
    <row r="10" spans="1:12" ht="30" customHeight="1">
      <c r="A10" s="7"/>
      <c r="B10" s="16" t="s">
        <v>4</v>
      </c>
      <c r="C10" s="17"/>
      <c r="D10" s="17"/>
      <c r="E10" s="17"/>
      <c r="F10" s="17"/>
      <c r="G10" s="17"/>
      <c r="H10" s="17"/>
      <c r="I10" s="17"/>
      <c r="K10" s="11"/>
    </row>
    <row r="11" spans="1:12" ht="30" customHeight="1">
      <c r="A11" s="18" t="s">
        <v>23</v>
      </c>
      <c r="B11" s="19" t="s">
        <v>5</v>
      </c>
      <c r="C11" s="76" t="s">
        <v>14</v>
      </c>
      <c r="D11" s="77"/>
      <c r="E11" s="76" t="s">
        <v>19</v>
      </c>
      <c r="F11" s="77"/>
      <c r="G11" s="76" t="s">
        <v>20</v>
      </c>
      <c r="H11" s="77"/>
      <c r="I11" s="20" t="s">
        <v>21</v>
      </c>
      <c r="K11" s="11"/>
    </row>
    <row r="12" spans="1:12" ht="30" customHeight="1">
      <c r="A12" s="18" t="s">
        <v>1</v>
      </c>
      <c r="B12" s="21" t="s">
        <v>6</v>
      </c>
      <c r="C12" s="78"/>
      <c r="D12" s="78"/>
      <c r="E12" s="78" t="s">
        <v>6</v>
      </c>
      <c r="F12" s="78"/>
      <c r="G12" s="78"/>
      <c r="H12" s="78"/>
      <c r="I12" s="32" t="s">
        <v>6</v>
      </c>
      <c r="K12" s="11"/>
    </row>
    <row r="13" spans="1:12" ht="30" customHeight="1">
      <c r="A13" s="18" t="s">
        <v>2</v>
      </c>
      <c r="B13" s="23" t="s">
        <v>7</v>
      </c>
      <c r="C13" s="79"/>
      <c r="D13" s="79"/>
      <c r="E13" s="79" t="s">
        <v>7</v>
      </c>
      <c r="F13" s="79"/>
      <c r="G13" s="79"/>
      <c r="H13" s="79"/>
      <c r="I13" s="23" t="s">
        <v>7</v>
      </c>
      <c r="J13" s="36"/>
      <c r="K13" s="37"/>
      <c r="L13" s="26"/>
    </row>
    <row r="14" spans="1:12" ht="30" customHeight="1">
      <c r="A14" s="18" t="s">
        <v>1</v>
      </c>
      <c r="B14" s="21"/>
      <c r="C14" s="78" t="s">
        <v>15</v>
      </c>
      <c r="D14" s="78"/>
      <c r="E14" s="78"/>
      <c r="F14" s="78"/>
      <c r="G14" s="78" t="s">
        <v>15</v>
      </c>
      <c r="H14" s="78"/>
      <c r="I14" s="32"/>
      <c r="J14" s="10" t="s">
        <v>19</v>
      </c>
      <c r="K14" s="35"/>
    </row>
    <row r="15" spans="1:12" ht="30" customHeight="1">
      <c r="A15" s="18" t="s">
        <v>2</v>
      </c>
      <c r="B15" s="23"/>
      <c r="C15" s="79" t="s">
        <v>16</v>
      </c>
      <c r="D15" s="79"/>
      <c r="E15" s="79"/>
      <c r="F15" s="79"/>
      <c r="G15" s="79" t="s">
        <v>16</v>
      </c>
      <c r="H15" s="79"/>
      <c r="I15" s="23"/>
      <c r="K15" s="11"/>
    </row>
    <row r="16" spans="1:12" ht="30" customHeight="1">
      <c r="A16" s="18" t="s">
        <v>1</v>
      </c>
      <c r="B16" s="21" t="s">
        <v>8</v>
      </c>
      <c r="C16" s="78"/>
      <c r="D16" s="78"/>
      <c r="E16" s="78" t="s">
        <v>8</v>
      </c>
      <c r="F16" s="78"/>
      <c r="G16" s="78"/>
      <c r="H16" s="78"/>
      <c r="I16" s="33" t="s">
        <v>8</v>
      </c>
      <c r="K16" s="11"/>
    </row>
    <row r="17" spans="1:12" ht="30" customHeight="1">
      <c r="A17" s="18" t="s">
        <v>2</v>
      </c>
      <c r="B17" s="23" t="s">
        <v>9</v>
      </c>
      <c r="C17" s="79"/>
      <c r="D17" s="79"/>
      <c r="E17" s="79" t="s">
        <v>9</v>
      </c>
      <c r="F17" s="79"/>
      <c r="G17" s="79"/>
      <c r="H17" s="79"/>
      <c r="I17" s="23" t="s">
        <v>9</v>
      </c>
      <c r="K17" s="11"/>
    </row>
    <row r="18" spans="1:12" ht="30" customHeight="1">
      <c r="A18" s="18" t="s">
        <v>1</v>
      </c>
      <c r="B18" s="21"/>
      <c r="C18" s="78"/>
      <c r="D18" s="78"/>
      <c r="E18" s="78"/>
      <c r="F18" s="78"/>
      <c r="G18" s="78"/>
      <c r="H18" s="78"/>
      <c r="I18" s="32"/>
      <c r="K18" s="11"/>
    </row>
    <row r="19" spans="1:12" ht="30" customHeight="1">
      <c r="A19" s="18" t="s">
        <v>2</v>
      </c>
      <c r="B19" s="23"/>
      <c r="C19" s="79"/>
      <c r="D19" s="79"/>
      <c r="E19" s="79"/>
      <c r="F19" s="79"/>
      <c r="G19" s="79"/>
      <c r="H19" s="79"/>
      <c r="I19" s="34"/>
      <c r="J19" s="36"/>
      <c r="K19" s="37"/>
      <c r="L19" s="38"/>
    </row>
    <row r="20" spans="1:12" ht="30" customHeight="1">
      <c r="A20" s="18" t="s">
        <v>1</v>
      </c>
      <c r="B20" s="21"/>
      <c r="C20" s="78"/>
      <c r="D20" s="78"/>
      <c r="E20" s="78"/>
      <c r="F20" s="78"/>
      <c r="G20" s="78"/>
      <c r="H20" s="78"/>
      <c r="I20" s="32"/>
      <c r="J20" s="10" t="s">
        <v>20</v>
      </c>
      <c r="K20" s="35"/>
    </row>
    <row r="21" spans="1:12" ht="30" customHeight="1">
      <c r="A21" s="18" t="s">
        <v>2</v>
      </c>
      <c r="B21" s="23"/>
      <c r="C21" s="79"/>
      <c r="D21" s="79"/>
      <c r="E21" s="79"/>
      <c r="F21" s="79"/>
      <c r="G21" s="79"/>
      <c r="H21" s="79"/>
      <c r="I21" s="23"/>
      <c r="K21" s="11"/>
    </row>
    <row r="22" spans="1:12" ht="30" customHeight="1">
      <c r="A22" s="18" t="s">
        <v>1</v>
      </c>
      <c r="B22" s="21"/>
      <c r="C22" s="78"/>
      <c r="D22" s="78"/>
      <c r="E22" s="78"/>
      <c r="F22" s="78"/>
      <c r="G22" s="78"/>
      <c r="H22" s="78"/>
      <c r="I22" s="32"/>
      <c r="K22" s="11"/>
    </row>
    <row r="23" spans="1:12" ht="30" customHeight="1">
      <c r="A23" s="18" t="s">
        <v>2</v>
      </c>
      <c r="B23" s="23"/>
      <c r="C23" s="79"/>
      <c r="D23" s="79"/>
      <c r="E23" s="79"/>
      <c r="F23" s="79"/>
      <c r="G23" s="79"/>
      <c r="H23" s="79"/>
      <c r="I23" s="23"/>
      <c r="K23" s="11"/>
    </row>
    <row r="24" spans="1:12" ht="30" customHeight="1">
      <c r="A24" s="18" t="s">
        <v>1</v>
      </c>
      <c r="B24" s="21" t="s">
        <v>10</v>
      </c>
      <c r="C24" s="78"/>
      <c r="D24" s="78"/>
      <c r="E24" s="78" t="s">
        <v>10</v>
      </c>
      <c r="F24" s="78"/>
      <c r="G24" s="78"/>
      <c r="H24" s="78"/>
      <c r="I24" s="32" t="s">
        <v>10</v>
      </c>
      <c r="K24" s="11"/>
    </row>
    <row r="25" spans="1:12" ht="30" customHeight="1">
      <c r="A25" s="18" t="s">
        <v>2</v>
      </c>
      <c r="B25" s="23" t="s">
        <v>11</v>
      </c>
      <c r="C25" s="79"/>
      <c r="D25" s="79"/>
      <c r="E25" s="79" t="s">
        <v>11</v>
      </c>
      <c r="F25" s="79"/>
      <c r="G25" s="79"/>
      <c r="H25" s="79"/>
      <c r="I25" s="23" t="s">
        <v>11</v>
      </c>
      <c r="J25" s="36"/>
      <c r="K25" s="37"/>
      <c r="L25" s="38"/>
    </row>
    <row r="26" spans="1:12" ht="30" customHeight="1">
      <c r="A26" s="18" t="s">
        <v>1</v>
      </c>
      <c r="B26" s="21"/>
      <c r="C26" s="78"/>
      <c r="D26" s="78"/>
      <c r="E26" s="78"/>
      <c r="F26" s="78"/>
      <c r="G26" s="78"/>
      <c r="H26" s="78"/>
      <c r="I26" s="32"/>
      <c r="J26" s="10" t="s">
        <v>21</v>
      </c>
      <c r="K26" s="35"/>
      <c r="L26" s="4" t="s">
        <v>31</v>
      </c>
    </row>
    <row r="27" spans="1:12" ht="30" customHeight="1">
      <c r="A27" s="18" t="s">
        <v>2</v>
      </c>
      <c r="B27" s="23"/>
      <c r="C27" s="79"/>
      <c r="D27" s="79"/>
      <c r="E27" s="79"/>
      <c r="F27" s="79"/>
      <c r="G27" s="79"/>
      <c r="H27" s="79"/>
      <c r="I27" s="23"/>
      <c r="K27" s="11"/>
    </row>
    <row r="28" spans="1:12" ht="30" customHeight="1">
      <c r="A28" s="18" t="s">
        <v>1</v>
      </c>
      <c r="B28" s="21"/>
      <c r="C28" s="78" t="s">
        <v>17</v>
      </c>
      <c r="D28" s="78"/>
      <c r="E28" s="78"/>
      <c r="F28" s="78"/>
      <c r="G28" s="78" t="s">
        <v>17</v>
      </c>
      <c r="H28" s="78"/>
      <c r="I28" s="32"/>
      <c r="K28" s="11"/>
    </row>
    <row r="29" spans="1:12" ht="30" customHeight="1">
      <c r="A29" s="18" t="s">
        <v>2</v>
      </c>
      <c r="B29" s="23"/>
      <c r="C29" s="79" t="s">
        <v>18</v>
      </c>
      <c r="D29" s="79"/>
      <c r="E29" s="79"/>
      <c r="F29" s="79"/>
      <c r="G29" s="79" t="s">
        <v>18</v>
      </c>
      <c r="H29" s="79"/>
      <c r="I29" s="23"/>
      <c r="K29" s="11"/>
    </row>
    <row r="30" spans="1:12" ht="30" customHeight="1">
      <c r="A30" s="18" t="s">
        <v>1</v>
      </c>
      <c r="B30" s="21"/>
      <c r="C30" s="78"/>
      <c r="D30" s="78"/>
      <c r="E30" s="78"/>
      <c r="F30" s="78"/>
      <c r="G30" s="78"/>
      <c r="H30" s="78"/>
      <c r="I30" s="32"/>
      <c r="K30" s="11"/>
    </row>
    <row r="31" spans="1:12" ht="30" customHeight="1">
      <c r="A31" s="18" t="s">
        <v>2</v>
      </c>
      <c r="B31" s="27"/>
      <c r="C31" s="80"/>
      <c r="D31" s="80"/>
      <c r="E31" s="80"/>
      <c r="F31" s="80"/>
      <c r="G31" s="80"/>
      <c r="H31" s="80"/>
      <c r="I31" s="27"/>
      <c r="K31" s="14"/>
      <c r="L31" s="40"/>
    </row>
  </sheetData>
  <mergeCells count="63">
    <mergeCell ref="C31:D31"/>
    <mergeCell ref="E31:F31"/>
    <mergeCell ref="G31:H31"/>
    <mergeCell ref="C29:D29"/>
    <mergeCell ref="E29:F29"/>
    <mergeCell ref="G29:H29"/>
    <mergeCell ref="C30:D30"/>
    <mergeCell ref="E30:F30"/>
    <mergeCell ref="G30:H30"/>
    <mergeCell ref="C27:D27"/>
    <mergeCell ref="E27:F27"/>
    <mergeCell ref="G27:H27"/>
    <mergeCell ref="C28:D28"/>
    <mergeCell ref="E28:F28"/>
    <mergeCell ref="G28:H28"/>
    <mergeCell ref="C25:D25"/>
    <mergeCell ref="E25:F25"/>
    <mergeCell ref="G25:H25"/>
    <mergeCell ref="C26:D26"/>
    <mergeCell ref="E26:F26"/>
    <mergeCell ref="G26:H26"/>
    <mergeCell ref="C23:D23"/>
    <mergeCell ref="E23:F23"/>
    <mergeCell ref="G23:H23"/>
    <mergeCell ref="C24:D24"/>
    <mergeCell ref="E24:F24"/>
    <mergeCell ref="G24:H24"/>
    <mergeCell ref="C21:D21"/>
    <mergeCell ref="E21:F21"/>
    <mergeCell ref="G21:H21"/>
    <mergeCell ref="C22:D22"/>
    <mergeCell ref="E22:F22"/>
    <mergeCell ref="G22:H22"/>
    <mergeCell ref="C19:D19"/>
    <mergeCell ref="E19:F19"/>
    <mergeCell ref="G19:H19"/>
    <mergeCell ref="C20:D20"/>
    <mergeCell ref="E20:F20"/>
    <mergeCell ref="G20:H20"/>
    <mergeCell ref="C17:D17"/>
    <mergeCell ref="E17:F17"/>
    <mergeCell ref="G17:H17"/>
    <mergeCell ref="C18:D18"/>
    <mergeCell ref="E18:F18"/>
    <mergeCell ref="G18:H18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C11:D11"/>
    <mergeCell ref="E11:F11"/>
    <mergeCell ref="G11:H11"/>
    <mergeCell ref="C12:D12"/>
    <mergeCell ref="E12:F12"/>
    <mergeCell ref="G12:H12"/>
  </mergeCells>
  <phoneticPr fontId="31" type="noConversion"/>
  <conditionalFormatting sqref="B12:I12 B14:I14 B16:I16 B18:I18 B20:I20 B22:I22 B24:I24 B26:I26 B28:I28 B30:I30">
    <cfRule type="expression" dxfId="20" priority="3">
      <formula>B12&lt;&gt;""</formula>
    </cfRule>
  </conditionalFormatting>
  <conditionalFormatting sqref="B12:I31">
    <cfRule type="expression" dxfId="19" priority="1">
      <formula>COLUMN(B12)&gt;2</formula>
    </cfRule>
  </conditionalFormatting>
  <conditionalFormatting sqref="B13:I13 B15:I15 B17:I17 B19:I19 B21:I21 B23:I23 B25:I25 B27:I27 B29:I29 B31:I31">
    <cfRule type="expression" dxfId="18" priority="4">
      <formula>B13&lt;&gt;""</formula>
    </cfRule>
  </conditionalFormatting>
  <conditionalFormatting sqref="B13:I13 B15:I15 B17:I17 B19:I19 B21:I21 B23:I23 B25:I25 B27:I27 B29:I29">
    <cfRule type="expression" dxfId="17" priority="2">
      <formula>COLUMN(B12)&gt;=2</formula>
    </cfRule>
  </conditionalFormatting>
  <conditionalFormatting sqref="C3:H3">
    <cfRule type="expression" dxfId="16" priority="6" stopIfTrue="1">
      <formula>DAY(C3)&gt;8</formula>
    </cfRule>
  </conditionalFormatting>
  <conditionalFormatting sqref="C3:I8">
    <cfRule type="expression" dxfId="15" priority="7">
      <formula>VLOOKUP(DAY(C3),作業日期,1,FALSE)=DAY(C3)</formula>
    </cfRule>
  </conditionalFormatting>
  <conditionalFormatting sqref="C7:I8">
    <cfRule type="expression" dxfId="14" priority="5" stopIfTrue="1">
      <formula>AND(DAY(C7)&gt;=1,DAY(C7)&lt;=15)</formula>
    </cfRule>
  </conditionalFormatting>
  <dataValidations xWindow="209" yWindow="929" count="13">
    <dataValidation allowBlank="1" showInputMessage="1" showErrorMessage="1" prompt="4 月行事曆會自動醒目提示當月的作業清單項目。較深色的字型表示該日期有作業。較淺色的字型表示屬於上個月或下個月的日期" sqref="B2" xr:uid="{00000000-0002-0000-0300-000000000000}"/>
    <dataValidation allowBlank="1" showInputMessage="1" showErrorMessage="1" prompt="行事曆年份會自動更新。若要變更年份，請更新 [1 月] 工作表中的儲存格 B1" sqref="B1" xr:uid="{00000000-0002-0000-0300-000001000000}"/>
    <dataValidation allowBlank="1" showInputMessage="1" showErrorMessage="1" prompt="在此工作表中排定每週課表與建立作業清單。在 [1 月] 工作表的儲存格 B1 中輸入之年份的每月行事曆中，會自動醒目提示相關作業" sqref="A1" xr:uid="{00000000-0002-0000-0300-000002000000}"/>
    <dataValidation allowBlank="1" showInputMessage="1" showErrorMessage="1" prompt="儲存格 C2:I2 包含工作日" sqref="C2:D2" xr:uid="{CBF0F97A-3170-4969-A6D6-EAA7836E1231}"/>
    <dataValidation allowBlank="1" showInputMessage="1" showErrorMessage="1" prompt="如果此儲存格中沒有數字 1，就表示它是上個月的日期。儲存格 C3:I8 包含當月的日期" sqref="C3" xr:uid="{00000000-0002-0000-0300-000004000000}"/>
    <dataValidation allowBlank="1" showInputMessage="1" showErrorMessage="1" prompt="如果此列中的數字小於前面的數字或前一列的數字，則此列會包含下個行事曆月份的日期" sqref="C8" xr:uid="{00000000-0002-0000-0300-000005000000}"/>
    <dataValidation allowBlank="1" showInputMessage="1" showErrorMessage="1" prompt="在此列的欄 B 到欄 I 中輸入時間" sqref="B12" xr:uid="{00000000-0002-0000-0300-000006000000}"/>
    <dataValidation allowBlank="1" showInputMessage="1" showErrorMessage="1" prompt="在此列的欄 B 到欄 I 中輸入課程" sqref="B13" xr:uid="{00000000-0002-0000-0300-000007000000}"/>
    <dataValidation allowBlank="1" showInputMessage="1" showErrorMessage="1" prompt="此欄依星期幾分組，每組包含 6 個列，用於記錄當月依每個星期幾分組的作業。插入新列即可新增更多作業。左側的行事曆會醒目提示相關項目" sqref="J1" xr:uid="{00000000-0002-0000-0300-000008000000}"/>
    <dataValidation allowBlank="1" showInputMessage="1" showErrorMessage="1" prompt="在此欄中輸入與左側行事曆月份欄 J 中的星期幾以及欄 K 中的日期相對應的作業詳細資料" sqref="L1" xr:uid="{00000000-0002-0000-0300-000009000000}"/>
    <dataValidation allowBlank="1" showInputMessage="1" showErrorMessage="1" prompt="在此欄中輸入與欄 J 中的星期幾相對應的當月作業日期。左側行事曆中的這個日期會醒目提示相關作業" sqref="K1" xr:uid="{00000000-0002-0000-0300-00000A000000}"/>
    <dataValidation allowBlank="1" showInputMessage="1" showErrorMessage="1" prompt="此列為星期幾，包括星期一到星期五" sqref="B11" xr:uid="{00000000-0002-0000-0300-00000B000000}"/>
    <dataValidation allowBlank="1" showInputMessage="1" showErrorMessage="1" prompt="輸入課程的時間，並在底下新列中的欄 B 到欄 I 的每個星期幾中輸入課程名稱。在後續各列中，針對所有課程重複此輸入方式" sqref="B10" xr:uid="{00000000-0002-0000-0300-00000C000000}"/>
  </dataValidations>
  <printOptions horizontalCentered="1" verticalCentered="1"/>
  <pageMargins left="0.5" right="0.5" top="0.5" bottom="0.5" header="0.3" footer="0.3"/>
  <pageSetup paperSize="9" scale="56" orientation="landscape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pageSetUpPr fitToPage="1"/>
  </sheetPr>
  <dimension ref="A1:L31"/>
  <sheetViews>
    <sheetView showGridLines="0" topLeftCell="A23" zoomScaleNormal="100" zoomScalePageLayoutView="84" workbookViewId="0">
      <selection activeCell="B24" sqref="B24"/>
    </sheetView>
  </sheetViews>
  <sheetFormatPr defaultColWidth="8.796875" defaultRowHeight="30" customHeight="1"/>
  <cols>
    <col min="1" max="1" width="2.796875" style="4" customWidth="1"/>
    <col min="2" max="2" width="20.796875" style="1" customWidth="1"/>
    <col min="3" max="8" width="10.796875" style="4" customWidth="1"/>
    <col min="9" max="9" width="20.796875" style="4" customWidth="1"/>
    <col min="10" max="10" width="10.796875" style="1" customWidth="1"/>
    <col min="11" max="11" width="10.796875" style="4" customWidth="1"/>
    <col min="12" max="12" width="70.796875" style="4" customWidth="1"/>
    <col min="13" max="13" width="2.796875" style="4" customWidth="1"/>
    <col min="14" max="16384" width="8.796875" style="4"/>
  </cols>
  <sheetData>
    <row r="1" spans="1:12" ht="30" customHeight="1">
      <c r="A1" s="1"/>
      <c r="B1" s="29">
        <f>_xlfn.SINGLE(行事曆年份)</f>
        <v>2026</v>
      </c>
      <c r="J1" s="5" t="s">
        <v>23</v>
      </c>
      <c r="K1" s="5" t="s">
        <v>24</v>
      </c>
      <c r="L1" s="6" t="s">
        <v>25</v>
      </c>
    </row>
    <row r="2" spans="1:12" ht="30" customHeight="1">
      <c r="A2" s="7"/>
      <c r="B2" s="42" t="s">
        <v>32</v>
      </c>
      <c r="C2" s="9" t="s">
        <v>13</v>
      </c>
      <c r="D2" s="9" t="s">
        <v>5</v>
      </c>
      <c r="E2" s="9" t="s">
        <v>14</v>
      </c>
      <c r="F2" s="9" t="s">
        <v>19</v>
      </c>
      <c r="G2" s="9" t="s">
        <v>20</v>
      </c>
      <c r="H2" s="9" t="s">
        <v>21</v>
      </c>
      <c r="I2" s="9" t="s">
        <v>22</v>
      </c>
      <c r="J2" s="10" t="s">
        <v>5</v>
      </c>
      <c r="K2" s="35"/>
      <c r="L2" s="1"/>
    </row>
    <row r="3" spans="1:12" ht="30" customHeight="1">
      <c r="A3" s="7"/>
      <c r="C3" s="47">
        <f>IF(DAY(MaySun1)=1,MaySun1-6,MaySun1+1)</f>
        <v>46138</v>
      </c>
      <c r="D3" s="47">
        <f>IF(DAY(MaySun1)=1,MaySun1-5,MaySun1+2)</f>
        <v>46139</v>
      </c>
      <c r="E3" s="47">
        <f>IF(DAY(MaySun1)=1,MaySun1-4,MaySun1+3)</f>
        <v>46140</v>
      </c>
      <c r="F3" s="47">
        <f>IF(DAY(MaySun1)=1,MaySun1-3,MaySun1+4)</f>
        <v>46141</v>
      </c>
      <c r="G3" s="47">
        <f>IF(DAY(MaySun1)=1,MaySun1-2,MaySun1+5)</f>
        <v>46142</v>
      </c>
      <c r="H3" s="47">
        <f>IF(DAY(MaySun1)=1,MaySun1-1,MaySun1+6)</f>
        <v>46143</v>
      </c>
      <c r="I3" s="47">
        <f>IF(DAY(MaySun1)=1,MaySun1,MaySun1+7)</f>
        <v>46144</v>
      </c>
      <c r="J3" s="10"/>
      <c r="K3" s="11"/>
      <c r="L3" s="1"/>
    </row>
    <row r="4" spans="1:12" ht="30" customHeight="1">
      <c r="A4" s="7"/>
      <c r="C4" s="47">
        <f>IF(DAY(MaySun1)=1,MaySun1+1,MaySun1+8)</f>
        <v>46145</v>
      </c>
      <c r="D4" s="47">
        <f>IF(DAY(MaySun1)=1,MaySun1+2,MaySun1+9)</f>
        <v>46146</v>
      </c>
      <c r="E4" s="47">
        <f>IF(DAY(MaySun1)=1,MaySun1+3,MaySun1+10)</f>
        <v>46147</v>
      </c>
      <c r="F4" s="47">
        <f>IF(DAY(MaySun1)=1,MaySun1+4,MaySun1+11)</f>
        <v>46148</v>
      </c>
      <c r="G4" s="47">
        <f>IF(DAY(MaySun1)=1,MaySun1+5,MaySun1+12)</f>
        <v>46149</v>
      </c>
      <c r="H4" s="47">
        <f>IF(DAY(MaySun1)=1,MaySun1+6,MaySun1+13)</f>
        <v>46150</v>
      </c>
      <c r="I4" s="47">
        <f>IF(DAY(MaySun1)=1,MaySun1+7,MaySun1+14)</f>
        <v>46151</v>
      </c>
      <c r="J4" s="10"/>
      <c r="K4" s="11"/>
      <c r="L4" s="1"/>
    </row>
    <row r="5" spans="1:12" ht="30" customHeight="1">
      <c r="A5" s="7"/>
      <c r="C5" s="47">
        <f>IF(DAY(MaySun1)=1,MaySun1+8,MaySun1+15)</f>
        <v>46152</v>
      </c>
      <c r="D5" s="47">
        <f>IF(DAY(MaySun1)=1,MaySun1+9,MaySun1+16)</f>
        <v>46153</v>
      </c>
      <c r="E5" s="47">
        <f>IF(DAY(MaySun1)=1,MaySun1+10,MaySun1+17)</f>
        <v>46154</v>
      </c>
      <c r="F5" s="47">
        <f>IF(DAY(MaySun1)=1,MaySun1+11,MaySun1+18)</f>
        <v>46155</v>
      </c>
      <c r="G5" s="47">
        <f>IF(DAY(MaySun1)=1,MaySun1+12,MaySun1+19)</f>
        <v>46156</v>
      </c>
      <c r="H5" s="47">
        <f>IF(DAY(MaySun1)=1,MaySun1+13,MaySun1+20)</f>
        <v>46157</v>
      </c>
      <c r="I5" s="47">
        <f>IF(DAY(MaySun1)=1,MaySun1+14,MaySun1+21)</f>
        <v>46158</v>
      </c>
      <c r="J5" s="10"/>
      <c r="K5" s="11"/>
      <c r="L5" s="1"/>
    </row>
    <row r="6" spans="1:12" ht="30" customHeight="1">
      <c r="A6" s="7"/>
      <c r="C6" s="47">
        <f>IF(DAY(MaySun1)=1,MaySun1+15,MaySun1+22)</f>
        <v>46159</v>
      </c>
      <c r="D6" s="47">
        <f>IF(DAY(MaySun1)=1,MaySun1+16,MaySun1+23)</f>
        <v>46160</v>
      </c>
      <c r="E6" s="47">
        <f>IF(DAY(MaySun1)=1,MaySun1+17,MaySun1+24)</f>
        <v>46161</v>
      </c>
      <c r="F6" s="47">
        <f>IF(DAY(MaySun1)=1,MaySun1+18,MaySun1+25)</f>
        <v>46162</v>
      </c>
      <c r="G6" s="47">
        <f>IF(DAY(MaySun1)=1,MaySun1+19,MaySun1+26)</f>
        <v>46163</v>
      </c>
      <c r="H6" s="47">
        <f>IF(DAY(MaySun1)=1,MaySun1+20,MaySun1+27)</f>
        <v>46164</v>
      </c>
      <c r="I6" s="47">
        <f>IF(DAY(MaySun1)=1,MaySun1+21,MaySun1+28)</f>
        <v>46165</v>
      </c>
      <c r="J6" s="10"/>
      <c r="K6" s="11"/>
      <c r="L6" s="1"/>
    </row>
    <row r="7" spans="1:12" ht="30" customHeight="1">
      <c r="A7" s="7"/>
      <c r="C7" s="47">
        <f>IF(DAY(MaySun1)=1,MaySun1+22,MaySun1+29)</f>
        <v>46166</v>
      </c>
      <c r="D7" s="47">
        <f>IF(DAY(MaySun1)=1,MaySun1+23,MaySun1+30)</f>
        <v>46167</v>
      </c>
      <c r="E7" s="47">
        <f>IF(DAY(MaySun1)=1,MaySun1+24,MaySun1+31)</f>
        <v>46168</v>
      </c>
      <c r="F7" s="47">
        <f>IF(DAY(MaySun1)=1,MaySun1+25,MaySun1+32)</f>
        <v>46169</v>
      </c>
      <c r="G7" s="47">
        <f>IF(DAY(MaySun1)=1,MaySun1+26,MaySun1+33)</f>
        <v>46170</v>
      </c>
      <c r="H7" s="47">
        <f>IF(DAY(MaySun1)=1,MaySun1+27,MaySun1+34)</f>
        <v>46171</v>
      </c>
      <c r="I7" s="47">
        <f>IF(DAY(MaySun1)=1,MaySun1+28,MaySun1+35)</f>
        <v>46172</v>
      </c>
      <c r="J7" s="13"/>
      <c r="K7" s="14"/>
      <c r="L7" s="15"/>
    </row>
    <row r="8" spans="1:12" ht="30" customHeight="1">
      <c r="A8" s="7"/>
      <c r="B8" s="15"/>
      <c r="C8" s="47">
        <f>IF(DAY(MaySun1)=1,MaySun1+29,MaySun1+36)</f>
        <v>46173</v>
      </c>
      <c r="D8" s="47">
        <f>IF(DAY(MaySun1)=1,MaySun1+30,MaySun1+37)</f>
        <v>46174</v>
      </c>
      <c r="E8" s="47">
        <f>IF(DAY(MaySun1)=1,MaySun1+31,MaySun1+38)</f>
        <v>46175</v>
      </c>
      <c r="F8" s="47">
        <f>IF(DAY(MaySun1)=1,MaySun1+32,MaySun1+39)</f>
        <v>46176</v>
      </c>
      <c r="G8" s="47">
        <f>IF(DAY(MaySun1)=1,MaySun1+33,MaySun1+40)</f>
        <v>46177</v>
      </c>
      <c r="H8" s="47">
        <f>IF(DAY(MaySun1)=1,MaySun1+34,MaySun1+41)</f>
        <v>46178</v>
      </c>
      <c r="I8" s="47">
        <f>IF(DAY(MaySun1)=1,MaySun1+35,MaySun1+42)</f>
        <v>46179</v>
      </c>
      <c r="J8" s="10" t="s">
        <v>14</v>
      </c>
      <c r="K8" s="35"/>
      <c r="L8" s="1"/>
    </row>
    <row r="9" spans="1:12" ht="30" customHeight="1">
      <c r="A9" s="7"/>
      <c r="C9" s="31"/>
      <c r="D9" s="31"/>
      <c r="E9" s="31"/>
      <c r="F9" s="31"/>
      <c r="G9" s="31"/>
      <c r="H9" s="31"/>
      <c r="I9" s="31"/>
      <c r="J9" s="10"/>
      <c r="K9" s="11"/>
      <c r="L9" s="1"/>
    </row>
    <row r="10" spans="1:12" ht="30" customHeight="1">
      <c r="A10" s="7"/>
      <c r="B10" s="16" t="s">
        <v>4</v>
      </c>
      <c r="C10" s="17"/>
      <c r="D10" s="17"/>
      <c r="E10" s="17"/>
      <c r="F10" s="17"/>
      <c r="G10" s="17"/>
      <c r="H10" s="17"/>
      <c r="I10" s="17"/>
      <c r="J10" s="10"/>
      <c r="K10" s="11"/>
      <c r="L10" s="1"/>
    </row>
    <row r="11" spans="1:12" ht="30" customHeight="1">
      <c r="A11" s="18" t="s">
        <v>23</v>
      </c>
      <c r="B11" s="19" t="s">
        <v>5</v>
      </c>
      <c r="C11" s="76" t="s">
        <v>14</v>
      </c>
      <c r="D11" s="77"/>
      <c r="E11" s="76" t="s">
        <v>19</v>
      </c>
      <c r="F11" s="77"/>
      <c r="G11" s="76" t="s">
        <v>20</v>
      </c>
      <c r="H11" s="77"/>
      <c r="I11" s="20" t="s">
        <v>21</v>
      </c>
      <c r="J11" s="10"/>
      <c r="K11" s="11"/>
      <c r="L11" s="1"/>
    </row>
    <row r="12" spans="1:12" ht="30" customHeight="1">
      <c r="A12" s="18" t="s">
        <v>1</v>
      </c>
      <c r="B12" s="52"/>
      <c r="C12" s="78"/>
      <c r="D12" s="78"/>
      <c r="E12" s="78"/>
      <c r="F12" s="78"/>
      <c r="G12" s="78"/>
      <c r="H12" s="78"/>
      <c r="I12" s="32"/>
      <c r="J12" s="10"/>
      <c r="K12" s="11"/>
      <c r="L12" s="1"/>
    </row>
    <row r="13" spans="1:12" ht="30" customHeight="1">
      <c r="A13" s="18" t="s">
        <v>2</v>
      </c>
      <c r="B13" s="23"/>
      <c r="C13" s="79"/>
      <c r="D13" s="79"/>
      <c r="E13" s="79"/>
      <c r="F13" s="79"/>
      <c r="G13" s="79"/>
      <c r="H13" s="79"/>
      <c r="I13" s="23"/>
      <c r="J13" s="13"/>
      <c r="K13" s="14"/>
      <c r="L13" s="15"/>
    </row>
    <row r="14" spans="1:12" ht="30" customHeight="1">
      <c r="A14" s="18" t="s">
        <v>1</v>
      </c>
      <c r="B14" s="21"/>
      <c r="C14" s="78"/>
      <c r="D14" s="78"/>
      <c r="E14" s="78"/>
      <c r="F14" s="78"/>
      <c r="G14" s="78"/>
      <c r="H14" s="78"/>
      <c r="I14" s="32"/>
      <c r="J14" s="44" t="s">
        <v>19</v>
      </c>
      <c r="K14" s="35"/>
      <c r="L14" s="1"/>
    </row>
    <row r="15" spans="1:12" ht="30" customHeight="1">
      <c r="A15" s="18" t="s">
        <v>2</v>
      </c>
      <c r="B15" s="23"/>
      <c r="C15" s="79"/>
      <c r="D15" s="79"/>
      <c r="E15" s="79"/>
      <c r="F15" s="79"/>
      <c r="G15" s="79"/>
      <c r="H15" s="79"/>
      <c r="I15" s="23"/>
      <c r="J15" s="10"/>
      <c r="K15" s="11"/>
      <c r="L15" s="1"/>
    </row>
    <row r="16" spans="1:12" ht="30" customHeight="1">
      <c r="A16" s="18" t="s">
        <v>1</v>
      </c>
      <c r="B16" s="21"/>
      <c r="C16" s="78"/>
      <c r="D16" s="78"/>
      <c r="E16" s="78"/>
      <c r="F16" s="78"/>
      <c r="G16" s="78"/>
      <c r="H16" s="78"/>
      <c r="I16" s="33"/>
      <c r="J16" s="10"/>
      <c r="K16" s="11"/>
      <c r="L16" s="1"/>
    </row>
    <row r="17" spans="1:12" ht="30" customHeight="1">
      <c r="A17" s="18" t="s">
        <v>2</v>
      </c>
      <c r="B17" s="23"/>
      <c r="C17" s="79"/>
      <c r="D17" s="79"/>
      <c r="E17" s="79"/>
      <c r="F17" s="79"/>
      <c r="G17" s="79"/>
      <c r="H17" s="79"/>
      <c r="I17" s="23"/>
      <c r="J17" s="10"/>
      <c r="K17" s="11"/>
      <c r="L17" s="1"/>
    </row>
    <row r="18" spans="1:12" ht="30" customHeight="1">
      <c r="A18" s="18" t="s">
        <v>1</v>
      </c>
      <c r="B18" s="21"/>
      <c r="C18" s="78"/>
      <c r="D18" s="78"/>
      <c r="E18" s="78"/>
      <c r="F18" s="78"/>
      <c r="G18" s="78"/>
      <c r="H18" s="78"/>
      <c r="I18" s="32"/>
      <c r="J18" s="10"/>
      <c r="K18" s="11"/>
      <c r="L18" s="1"/>
    </row>
    <row r="19" spans="1:12" ht="30" customHeight="1">
      <c r="A19" s="18" t="s">
        <v>2</v>
      </c>
      <c r="B19" s="23"/>
      <c r="C19" s="79"/>
      <c r="D19" s="79"/>
      <c r="E19" s="79"/>
      <c r="F19" s="79"/>
      <c r="G19" s="79"/>
      <c r="H19" s="79"/>
      <c r="I19" s="34"/>
      <c r="J19" s="13"/>
      <c r="K19" s="14"/>
      <c r="L19" s="15"/>
    </row>
    <row r="20" spans="1:12" ht="30" customHeight="1">
      <c r="A20" s="18" t="s">
        <v>1</v>
      </c>
      <c r="B20" s="21"/>
      <c r="C20" s="78"/>
      <c r="D20" s="78"/>
      <c r="E20" s="78"/>
      <c r="F20" s="78"/>
      <c r="G20" s="78"/>
      <c r="H20" s="78"/>
      <c r="I20" s="32"/>
      <c r="J20" s="10" t="s">
        <v>20</v>
      </c>
      <c r="K20" s="35"/>
      <c r="L20" s="1"/>
    </row>
    <row r="21" spans="1:12" ht="30" customHeight="1">
      <c r="A21" s="18" t="s">
        <v>2</v>
      </c>
      <c r="B21" s="23"/>
      <c r="C21" s="79"/>
      <c r="D21" s="79"/>
      <c r="E21" s="79"/>
      <c r="F21" s="79"/>
      <c r="G21" s="79"/>
      <c r="H21" s="79"/>
      <c r="I21" s="23"/>
      <c r="J21" s="10"/>
      <c r="K21" s="11"/>
      <c r="L21" s="1"/>
    </row>
    <row r="22" spans="1:12" ht="30" customHeight="1">
      <c r="A22" s="18" t="s">
        <v>1</v>
      </c>
      <c r="B22" s="21"/>
      <c r="C22" s="78"/>
      <c r="D22" s="78"/>
      <c r="E22" s="78"/>
      <c r="F22" s="78"/>
      <c r="G22" s="78"/>
      <c r="H22" s="78"/>
      <c r="I22" s="32"/>
      <c r="J22" s="10"/>
      <c r="K22" s="11"/>
      <c r="L22" s="1"/>
    </row>
    <row r="23" spans="1:12" ht="30" customHeight="1">
      <c r="A23" s="18" t="s">
        <v>2</v>
      </c>
      <c r="B23" s="23"/>
      <c r="C23" s="79"/>
      <c r="D23" s="79"/>
      <c r="E23" s="79"/>
      <c r="F23" s="79"/>
      <c r="G23" s="79"/>
      <c r="H23" s="79"/>
      <c r="I23" s="23"/>
      <c r="J23" s="10"/>
      <c r="K23" s="11"/>
      <c r="L23" s="1"/>
    </row>
    <row r="24" spans="1:12" ht="30" customHeight="1">
      <c r="A24" s="18" t="s">
        <v>1</v>
      </c>
      <c r="B24" s="21"/>
      <c r="C24" s="78"/>
      <c r="D24" s="78"/>
      <c r="E24" s="78"/>
      <c r="F24" s="78"/>
      <c r="G24" s="78"/>
      <c r="H24" s="78"/>
      <c r="I24" s="32"/>
      <c r="J24" s="10"/>
      <c r="K24" s="11"/>
      <c r="L24" s="1"/>
    </row>
    <row r="25" spans="1:12" ht="30" customHeight="1">
      <c r="A25" s="18" t="s">
        <v>2</v>
      </c>
      <c r="B25" s="23"/>
      <c r="C25" s="79"/>
      <c r="D25" s="79"/>
      <c r="E25" s="79"/>
      <c r="F25" s="79"/>
      <c r="G25" s="79"/>
      <c r="H25" s="79"/>
      <c r="I25" s="23"/>
      <c r="J25" s="13"/>
      <c r="K25" s="14"/>
      <c r="L25" s="15"/>
    </row>
    <row r="26" spans="1:12" ht="30" customHeight="1">
      <c r="A26" s="18" t="s">
        <v>1</v>
      </c>
      <c r="B26" s="21"/>
      <c r="C26" s="78"/>
      <c r="D26" s="78"/>
      <c r="E26" s="78"/>
      <c r="F26" s="78"/>
      <c r="G26" s="78"/>
      <c r="H26" s="78"/>
      <c r="I26" s="32"/>
      <c r="J26" s="10" t="s">
        <v>21</v>
      </c>
      <c r="K26" s="35"/>
      <c r="L26" s="1"/>
    </row>
    <row r="27" spans="1:12" ht="30" customHeight="1">
      <c r="A27" s="18" t="s">
        <v>2</v>
      </c>
      <c r="B27" s="23"/>
      <c r="C27" s="79"/>
      <c r="D27" s="79"/>
      <c r="E27" s="79"/>
      <c r="F27" s="79"/>
      <c r="G27" s="79"/>
      <c r="H27" s="79"/>
      <c r="I27" s="23"/>
      <c r="J27" s="10"/>
      <c r="K27" s="11"/>
      <c r="L27" s="1"/>
    </row>
    <row r="28" spans="1:12" ht="30" customHeight="1">
      <c r="A28" s="18" t="s">
        <v>1</v>
      </c>
      <c r="B28" s="21"/>
      <c r="C28" s="78"/>
      <c r="D28" s="78"/>
      <c r="E28" s="78"/>
      <c r="F28" s="78"/>
      <c r="G28" s="78"/>
      <c r="H28" s="78"/>
      <c r="I28" s="32"/>
      <c r="J28" s="10"/>
      <c r="K28" s="11"/>
      <c r="L28" s="1"/>
    </row>
    <row r="29" spans="1:12" ht="30" customHeight="1">
      <c r="A29" s="18" t="s">
        <v>2</v>
      </c>
      <c r="B29" s="23"/>
      <c r="C29" s="79"/>
      <c r="D29" s="79"/>
      <c r="E29" s="79"/>
      <c r="F29" s="79"/>
      <c r="G29" s="79"/>
      <c r="H29" s="79"/>
      <c r="I29" s="23"/>
      <c r="J29" s="10"/>
      <c r="K29" s="11"/>
      <c r="L29" s="1"/>
    </row>
    <row r="30" spans="1:12" ht="30" customHeight="1">
      <c r="A30" s="18" t="s">
        <v>1</v>
      </c>
      <c r="B30" s="21"/>
      <c r="C30" s="78"/>
      <c r="D30" s="78"/>
      <c r="E30" s="78"/>
      <c r="F30" s="78"/>
      <c r="G30" s="78"/>
      <c r="H30" s="78"/>
      <c r="I30" s="32"/>
      <c r="J30" s="10"/>
      <c r="K30" s="11"/>
      <c r="L30" s="1"/>
    </row>
    <row r="31" spans="1:12" ht="30" customHeight="1">
      <c r="A31" s="18" t="s">
        <v>2</v>
      </c>
      <c r="B31" s="27"/>
      <c r="C31" s="80"/>
      <c r="D31" s="80"/>
      <c r="E31" s="80"/>
      <c r="F31" s="80"/>
      <c r="G31" s="80"/>
      <c r="H31" s="80"/>
      <c r="I31" s="27"/>
      <c r="J31" s="13"/>
      <c r="K31" s="14"/>
      <c r="L31" s="15"/>
    </row>
  </sheetData>
  <mergeCells count="63">
    <mergeCell ref="C31:D31"/>
    <mergeCell ref="E31:F31"/>
    <mergeCell ref="G31:H31"/>
    <mergeCell ref="C29:D29"/>
    <mergeCell ref="E29:F29"/>
    <mergeCell ref="G29:H29"/>
    <mergeCell ref="C30:D30"/>
    <mergeCell ref="E30:F30"/>
    <mergeCell ref="G30:H30"/>
    <mergeCell ref="C27:D27"/>
    <mergeCell ref="E27:F27"/>
    <mergeCell ref="G27:H27"/>
    <mergeCell ref="C28:D28"/>
    <mergeCell ref="E28:F28"/>
    <mergeCell ref="G28:H28"/>
    <mergeCell ref="C25:D25"/>
    <mergeCell ref="E25:F25"/>
    <mergeCell ref="G25:H25"/>
    <mergeCell ref="C26:D26"/>
    <mergeCell ref="E26:F26"/>
    <mergeCell ref="G26:H26"/>
    <mergeCell ref="C23:D23"/>
    <mergeCell ref="E23:F23"/>
    <mergeCell ref="G23:H23"/>
    <mergeCell ref="C24:D24"/>
    <mergeCell ref="E24:F24"/>
    <mergeCell ref="G24:H24"/>
    <mergeCell ref="C21:D21"/>
    <mergeCell ref="E21:F21"/>
    <mergeCell ref="G21:H21"/>
    <mergeCell ref="C22:D22"/>
    <mergeCell ref="E22:F22"/>
    <mergeCell ref="G22:H22"/>
    <mergeCell ref="C19:D19"/>
    <mergeCell ref="E19:F19"/>
    <mergeCell ref="G19:H19"/>
    <mergeCell ref="C20:D20"/>
    <mergeCell ref="E20:F20"/>
    <mergeCell ref="G20:H20"/>
    <mergeCell ref="C17:D17"/>
    <mergeCell ref="E17:F17"/>
    <mergeCell ref="G17:H17"/>
    <mergeCell ref="C18:D18"/>
    <mergeCell ref="E18:F18"/>
    <mergeCell ref="G18:H18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C11:D11"/>
    <mergeCell ref="E11:F11"/>
    <mergeCell ref="G11:H11"/>
    <mergeCell ref="C12:D12"/>
    <mergeCell ref="E12:F12"/>
    <mergeCell ref="G12:H12"/>
  </mergeCells>
  <phoneticPr fontId="31" type="noConversion"/>
  <conditionalFormatting sqref="B12:I12 B14:I14 B16:I16 B18:I18 B20:I20 B22:I22 B24:I24 B26:I26 B28:I28 B30:I30">
    <cfRule type="expression" dxfId="13" priority="3">
      <formula>B12&lt;&gt;""</formula>
    </cfRule>
  </conditionalFormatting>
  <conditionalFormatting sqref="B12:I31">
    <cfRule type="expression" dxfId="12" priority="1">
      <formula>COLUMN(B11)&gt;2</formula>
    </cfRule>
  </conditionalFormatting>
  <conditionalFormatting sqref="B13:I13 B15:I15 B17:I17 B19:I19 B21:I21 B23:I23 B25:I25 B27:I27 B29:I29 B31:I31">
    <cfRule type="expression" dxfId="11" priority="4">
      <formula>B13&lt;&gt;""</formula>
    </cfRule>
  </conditionalFormatting>
  <conditionalFormatting sqref="B13:I13 B15:I15 B17:I17 B19:I19 B21:I21 B23:I23 B25:I25 B27:I27 B29:I29">
    <cfRule type="expression" dxfId="10" priority="2">
      <formula>COLUMN(B12)&gt;=2</formula>
    </cfRule>
  </conditionalFormatting>
  <conditionalFormatting sqref="C3:H3">
    <cfRule type="expression" dxfId="9" priority="6" stopIfTrue="1">
      <formula>DAY(C3)&gt;8</formula>
    </cfRule>
  </conditionalFormatting>
  <conditionalFormatting sqref="C3:I8">
    <cfRule type="expression" dxfId="8" priority="7">
      <formula>VLOOKUP(DAY(C3),作業日期,1,FALSE)=DAY(C3)</formula>
    </cfRule>
  </conditionalFormatting>
  <conditionalFormatting sqref="C7:I8">
    <cfRule type="expression" dxfId="7" priority="5" stopIfTrue="1">
      <formula>AND(DAY(C7)&gt;=1,DAY(C7)&lt;=15)</formula>
    </cfRule>
  </conditionalFormatting>
  <dataValidations count="13">
    <dataValidation allowBlank="1" showInputMessage="1" showErrorMessage="1" prompt="在此列的欄 B 到欄 I 中輸入課程" sqref="B13" xr:uid="{00000000-0002-0000-0400-000000000000}"/>
    <dataValidation allowBlank="1" showInputMessage="1" showErrorMessage="1" prompt="在此列的欄 B 到欄 I 中輸入時間" sqref="B12" xr:uid="{00000000-0002-0000-0400-000001000000}"/>
    <dataValidation allowBlank="1" showInputMessage="1" showErrorMessage="1" prompt="如果此列中的數字小於前面的數字或前一列的數字，則此列會包含下個行事曆月份的日期" sqref="C8" xr:uid="{00000000-0002-0000-0400-000002000000}"/>
    <dataValidation allowBlank="1" showInputMessage="1" showErrorMessage="1" prompt="如果此儲存格中沒有數字 1，就表示它是上個月的日期。儲存格 C3:I8 包含當月的日期" sqref="C3" xr:uid="{00000000-0002-0000-0400-000003000000}"/>
    <dataValidation allowBlank="1" showInputMessage="1" showErrorMessage="1" prompt="儲存格 C2:I2 包含工作日" sqref="C2:D2" xr:uid="{A5C39ED4-9A22-477E-B3DB-2E388013768B}"/>
    <dataValidation allowBlank="1" showInputMessage="1" showErrorMessage="1" prompt="在此工作表中排定每週課表與建立作業清單。在 [1 月] 工作表的儲存格 B1 中輸入之年份的每月行事曆中，會自動醒目提示相關作業" sqref="A1" xr:uid="{00000000-0002-0000-0400-000005000000}"/>
    <dataValidation allowBlank="1" showInputMessage="1" showErrorMessage="1" prompt="行事曆年份會自動更新。若要變更年份，請更新 [1 月] 工作表中的儲存格 B1" sqref="B1" xr:uid="{00000000-0002-0000-0400-000006000000}"/>
    <dataValidation allowBlank="1" showInputMessage="1" showErrorMessage="1" prompt="5 月行事曆會自動醒目提示當月的作業清單項目。較深色的字型表示該日期有作業。較淺色的字型表示屬於上個月或下個月的日期" sqref="B2" xr:uid="{00000000-0002-0000-0400-000007000000}"/>
    <dataValidation allowBlank="1" showInputMessage="1" showErrorMessage="1" prompt="此欄依星期幾分組，每組包含 6 個列，用於記錄當月依每個星期幾分組的作業。插入新列即可新增更多作業。左側的行事曆會醒目提示相關項目" sqref="J1" xr:uid="{00000000-0002-0000-0400-000008000000}"/>
    <dataValidation allowBlank="1" showInputMessage="1" showErrorMessage="1" prompt="在此欄中輸入與左側行事曆月份欄 J 中的星期幾以及欄 K 中的日期相對應的作業詳細資料" sqref="L1" xr:uid="{00000000-0002-0000-0400-000009000000}"/>
    <dataValidation allowBlank="1" showInputMessage="1" showErrorMessage="1" prompt="在此欄中輸入與欄 J 中的星期幾相對應的當月作業日期。左側行事曆中的這個日期會醒目提示相關作業" sqref="K1" xr:uid="{00000000-0002-0000-0400-00000A000000}"/>
    <dataValidation allowBlank="1" showInputMessage="1" showErrorMessage="1" prompt="此列為星期幾，包括星期一到星期五" sqref="B11" xr:uid="{00000000-0002-0000-0400-00000B000000}"/>
    <dataValidation allowBlank="1" showInputMessage="1" showErrorMessage="1" prompt="輸入課程的時間，並在底下新列中的欄 B 到欄 I 的每個星期幾中輸入課程名稱。在後續各列中，針對所有課程重複此輸入方式" sqref="B10" xr:uid="{00000000-0002-0000-0400-00000C000000}"/>
  </dataValidations>
  <printOptions horizontalCentered="1" verticalCentered="1"/>
  <pageMargins left="0.5" right="0.5" top="0.5" bottom="0.5" header="0.3" footer="0.3"/>
  <pageSetup paperSize="9" scale="56" orientation="landscape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  <pageSetUpPr fitToPage="1"/>
  </sheetPr>
  <dimension ref="A1:L31"/>
  <sheetViews>
    <sheetView showGridLines="0" topLeftCell="A19" zoomScaleNormal="100" zoomScalePageLayoutView="84" workbookViewId="0">
      <selection activeCell="I25" sqref="I25"/>
    </sheetView>
  </sheetViews>
  <sheetFormatPr defaultColWidth="8.796875" defaultRowHeight="30" customHeight="1"/>
  <cols>
    <col min="1" max="1" width="2.796875" style="4" customWidth="1"/>
    <col min="2" max="2" width="20.796875" style="1" customWidth="1"/>
    <col min="3" max="8" width="10.796875" style="4" customWidth="1"/>
    <col min="9" max="9" width="20.796875" style="4" customWidth="1"/>
    <col min="10" max="10" width="10.796875" style="1" customWidth="1"/>
    <col min="11" max="11" width="10.796875" style="4" customWidth="1"/>
    <col min="12" max="12" width="70.796875" style="4" customWidth="1"/>
    <col min="13" max="13" width="2.796875" style="4" customWidth="1"/>
    <col min="14" max="16384" width="8.796875" style="4"/>
  </cols>
  <sheetData>
    <row r="1" spans="1:12" ht="30" customHeight="1">
      <c r="A1" s="1"/>
      <c r="B1" s="29">
        <f>_xlfn.SINGLE(行事曆年份)</f>
        <v>2026</v>
      </c>
      <c r="J1" s="5" t="s">
        <v>23</v>
      </c>
      <c r="K1" s="5" t="s">
        <v>24</v>
      </c>
      <c r="L1" s="6" t="s">
        <v>25</v>
      </c>
    </row>
    <row r="2" spans="1:12" ht="30" customHeight="1">
      <c r="A2" s="7"/>
      <c r="B2" s="42" t="s">
        <v>33</v>
      </c>
      <c r="C2" s="9" t="s">
        <v>13</v>
      </c>
      <c r="D2" s="9" t="s">
        <v>5</v>
      </c>
      <c r="E2" s="9" t="s">
        <v>14</v>
      </c>
      <c r="F2" s="9" t="s">
        <v>19</v>
      </c>
      <c r="G2" s="9" t="s">
        <v>20</v>
      </c>
      <c r="H2" s="9" t="s">
        <v>21</v>
      </c>
      <c r="I2" s="9" t="s">
        <v>22</v>
      </c>
      <c r="J2" s="10" t="s">
        <v>5</v>
      </c>
      <c r="K2" s="35"/>
    </row>
    <row r="3" spans="1:12" ht="30" customHeight="1">
      <c r="A3" s="7"/>
      <c r="C3" s="47">
        <f>IF(DAY(JunSun1)=1,JunSun1-6,JunSun1+1)</f>
        <v>46173</v>
      </c>
      <c r="D3" s="47">
        <f>IF(DAY(JunSun1)=1,JunSun1-5,JunSun1+2)</f>
        <v>46174</v>
      </c>
      <c r="E3" s="47">
        <f>IF(DAY(JunSun1)=1,JunSun1-4,JunSun1+3)</f>
        <v>46175</v>
      </c>
      <c r="F3" s="47">
        <f>IF(DAY(JunSun1)=1,JunSun1-3,JunSun1+4)</f>
        <v>46176</v>
      </c>
      <c r="G3" s="47">
        <f>IF(DAY(JunSun1)=1,JunSun1-2,JunSun1+5)</f>
        <v>46177</v>
      </c>
      <c r="H3" s="47">
        <f>IF(DAY(JunSun1)=1,JunSun1-1,JunSun1+6)</f>
        <v>46178</v>
      </c>
      <c r="I3" s="47">
        <f>IF(DAY(JunSun1)=1,JunSun1,JunSun1+7)</f>
        <v>46179</v>
      </c>
      <c r="J3" s="10"/>
      <c r="K3" s="11"/>
    </row>
    <row r="4" spans="1:12" ht="30" customHeight="1">
      <c r="A4" s="7"/>
      <c r="C4" s="47">
        <f>IF(DAY(JunSun1)=1,JunSun1+1,JunSun1+8)</f>
        <v>46180</v>
      </c>
      <c r="D4" s="47">
        <f>IF(DAY(JunSun1)=1,JunSun1+2,JunSun1+9)</f>
        <v>46181</v>
      </c>
      <c r="E4" s="47">
        <f>IF(DAY(JunSun1)=1,JunSun1+3,JunSun1+10)</f>
        <v>46182</v>
      </c>
      <c r="F4" s="47">
        <f>IF(DAY(JunSun1)=1,JunSun1+4,JunSun1+11)</f>
        <v>46183</v>
      </c>
      <c r="G4" s="47">
        <f>IF(DAY(JunSun1)=1,JunSun1+5,JunSun1+12)</f>
        <v>46184</v>
      </c>
      <c r="H4" s="47">
        <f>IF(DAY(JunSun1)=1,JunSun1+6,JunSun1+13)</f>
        <v>46185</v>
      </c>
      <c r="I4" s="47">
        <f>IF(DAY(JunSun1)=1,JunSun1+7,JunSun1+14)</f>
        <v>46186</v>
      </c>
      <c r="J4" s="10"/>
      <c r="K4" s="11"/>
    </row>
    <row r="5" spans="1:12" ht="30" customHeight="1">
      <c r="A5" s="7"/>
      <c r="C5" s="47">
        <f>IF(DAY(JunSun1)=1,JunSun1+8,JunSun1+15)</f>
        <v>46187</v>
      </c>
      <c r="D5" s="47">
        <f>IF(DAY(JunSun1)=1,JunSun1+9,JunSun1+16)</f>
        <v>46188</v>
      </c>
      <c r="E5" s="47">
        <f>IF(DAY(JunSun1)=1,JunSun1+10,JunSun1+17)</f>
        <v>46189</v>
      </c>
      <c r="F5" s="47">
        <f>IF(DAY(JunSun1)=1,JunSun1+11,JunSun1+18)</f>
        <v>46190</v>
      </c>
      <c r="G5" s="47">
        <f>IF(DAY(JunSun1)=1,JunSun1+12,JunSun1+19)</f>
        <v>46191</v>
      </c>
      <c r="H5" s="47">
        <f>IF(DAY(JunSun1)=1,JunSun1+13,JunSun1+20)</f>
        <v>46192</v>
      </c>
      <c r="I5" s="47">
        <f>IF(DAY(JunSun1)=1,JunSun1+14,JunSun1+21)</f>
        <v>46193</v>
      </c>
      <c r="J5" s="10"/>
      <c r="K5" s="11"/>
    </row>
    <row r="6" spans="1:12" ht="30" customHeight="1">
      <c r="A6" s="7"/>
      <c r="C6" s="47">
        <f>IF(DAY(JunSun1)=1,JunSun1+15,JunSun1+22)</f>
        <v>46194</v>
      </c>
      <c r="D6" s="47">
        <f>IF(DAY(JunSun1)=1,JunSun1+16,JunSun1+23)</f>
        <v>46195</v>
      </c>
      <c r="E6" s="47">
        <f>IF(DAY(JunSun1)=1,JunSun1+17,JunSun1+24)</f>
        <v>46196</v>
      </c>
      <c r="F6" s="47">
        <f>IF(DAY(JunSun1)=1,JunSun1+18,JunSun1+25)</f>
        <v>46197</v>
      </c>
      <c r="G6" s="47">
        <f>IF(DAY(JunSun1)=1,JunSun1+19,JunSun1+26)</f>
        <v>46198</v>
      </c>
      <c r="H6" s="47">
        <f>IF(DAY(JunSun1)=1,JunSun1+20,JunSun1+27)</f>
        <v>46199</v>
      </c>
      <c r="I6" s="47">
        <f>IF(DAY(JunSun1)=1,JunSun1+21,JunSun1+28)</f>
        <v>46200</v>
      </c>
      <c r="J6" s="10"/>
      <c r="K6" s="11"/>
    </row>
    <row r="7" spans="1:12" ht="30" customHeight="1">
      <c r="A7" s="7"/>
      <c r="C7" s="47">
        <f>IF(DAY(JunSun1)=1,JunSun1+22,JunSun1+29)</f>
        <v>46201</v>
      </c>
      <c r="D7" s="47">
        <f>IF(DAY(JunSun1)=1,JunSun1+23,JunSun1+30)</f>
        <v>46202</v>
      </c>
      <c r="E7" s="47">
        <f>IF(DAY(JunSun1)=1,JunSun1+24,JunSun1+31)</f>
        <v>46203</v>
      </c>
      <c r="F7" s="47">
        <f>IF(DAY(JunSun1)=1,JunSun1+25,JunSun1+32)</f>
        <v>46204</v>
      </c>
      <c r="G7" s="47">
        <f>IF(DAY(JunSun1)=1,JunSun1+26,JunSun1+33)</f>
        <v>46205</v>
      </c>
      <c r="H7" s="47">
        <f>IF(DAY(JunSun1)=1,JunSun1+27,JunSun1+34)</f>
        <v>46206</v>
      </c>
      <c r="I7" s="47">
        <f>IF(DAY(JunSun1)=1,JunSun1+28,JunSun1+35)</f>
        <v>46207</v>
      </c>
      <c r="J7" s="43"/>
      <c r="K7" s="43"/>
      <c r="L7" s="43"/>
    </row>
    <row r="8" spans="1:12" ht="30" customHeight="1">
      <c r="A8" s="7"/>
      <c r="B8" s="15"/>
      <c r="C8" s="47">
        <f>IF(DAY(JunSun1)=1,JunSun1+29,JunSun1+36)</f>
        <v>46208</v>
      </c>
      <c r="D8" s="47">
        <f>IF(DAY(JunSun1)=1,JunSun1+30,JunSun1+37)</f>
        <v>46209</v>
      </c>
      <c r="E8" s="47">
        <f>IF(DAY(JunSun1)=1,JunSun1+31,JunSun1+38)</f>
        <v>46210</v>
      </c>
      <c r="F8" s="47">
        <f>IF(DAY(JunSun1)=1,JunSun1+32,JunSun1+39)</f>
        <v>46211</v>
      </c>
      <c r="G8" s="47">
        <f>IF(DAY(JunSun1)=1,JunSun1+33,JunSun1+40)</f>
        <v>46212</v>
      </c>
      <c r="H8" s="47">
        <f>IF(DAY(JunSun1)=1,JunSun1+34,JunSun1+41)</f>
        <v>46213</v>
      </c>
      <c r="I8" s="47">
        <f>IF(DAY(JunSun1)=1,JunSun1+35,JunSun1+42)</f>
        <v>46214</v>
      </c>
      <c r="J8" s="10" t="s">
        <v>14</v>
      </c>
      <c r="K8" s="35"/>
    </row>
    <row r="9" spans="1:12" ht="30" customHeight="1">
      <c r="A9" s="7"/>
      <c r="C9" s="31"/>
      <c r="D9" s="31"/>
      <c r="E9" s="31"/>
      <c r="F9" s="31"/>
      <c r="G9" s="31"/>
      <c r="H9" s="31"/>
      <c r="I9" s="31"/>
      <c r="J9" s="10"/>
      <c r="K9" s="11"/>
    </row>
    <row r="10" spans="1:12" ht="30" customHeight="1">
      <c r="A10" s="7"/>
      <c r="B10" s="16" t="s">
        <v>4</v>
      </c>
      <c r="C10" s="17"/>
      <c r="D10" s="17"/>
      <c r="E10" s="17"/>
      <c r="F10" s="17"/>
      <c r="G10" s="17"/>
      <c r="H10" s="17"/>
      <c r="I10" s="17"/>
      <c r="J10" s="10"/>
      <c r="K10" s="11"/>
    </row>
    <row r="11" spans="1:12" ht="30" customHeight="1">
      <c r="A11" s="18" t="s">
        <v>23</v>
      </c>
      <c r="B11" s="19" t="s">
        <v>5</v>
      </c>
      <c r="C11" s="76" t="s">
        <v>14</v>
      </c>
      <c r="D11" s="77"/>
      <c r="E11" s="76" t="s">
        <v>19</v>
      </c>
      <c r="F11" s="77"/>
      <c r="G11" s="76" t="s">
        <v>20</v>
      </c>
      <c r="H11" s="77"/>
      <c r="I11" s="20" t="s">
        <v>21</v>
      </c>
      <c r="J11" s="10"/>
      <c r="K11" s="11"/>
    </row>
    <row r="12" spans="1:12" ht="30" customHeight="1">
      <c r="A12" s="18" t="s">
        <v>1</v>
      </c>
      <c r="B12" s="21"/>
      <c r="C12" s="78"/>
      <c r="D12" s="78"/>
      <c r="E12" s="78"/>
      <c r="F12" s="78"/>
      <c r="G12" s="78"/>
      <c r="H12" s="78"/>
      <c r="I12" s="32"/>
      <c r="J12" s="10"/>
      <c r="K12" s="11"/>
    </row>
    <row r="13" spans="1:12" ht="30" customHeight="1">
      <c r="A13" s="18" t="s">
        <v>2</v>
      </c>
      <c r="B13" s="23"/>
      <c r="C13" s="79"/>
      <c r="D13" s="79"/>
      <c r="E13" s="79"/>
      <c r="F13" s="79"/>
      <c r="G13" s="79"/>
      <c r="H13" s="79"/>
      <c r="I13" s="23"/>
      <c r="J13" s="36"/>
      <c r="K13" s="37"/>
      <c r="L13" s="26"/>
    </row>
    <row r="14" spans="1:12" ht="30" customHeight="1">
      <c r="A14" s="18" t="s">
        <v>1</v>
      </c>
      <c r="B14" s="21"/>
      <c r="C14" s="78"/>
      <c r="D14" s="78"/>
      <c r="E14" s="78"/>
      <c r="F14" s="78"/>
      <c r="G14" s="78"/>
      <c r="H14" s="78"/>
      <c r="I14" s="32"/>
      <c r="J14" s="10" t="s">
        <v>19</v>
      </c>
      <c r="K14" s="35"/>
    </row>
    <row r="15" spans="1:12" ht="30" customHeight="1">
      <c r="A15" s="18" t="s">
        <v>2</v>
      </c>
      <c r="B15" s="23"/>
      <c r="C15" s="79"/>
      <c r="D15" s="79"/>
      <c r="E15" s="79"/>
      <c r="F15" s="79"/>
      <c r="G15" s="79"/>
      <c r="H15" s="79"/>
      <c r="I15" s="23"/>
      <c r="J15" s="10"/>
      <c r="K15" s="11"/>
    </row>
    <row r="16" spans="1:12" ht="30" customHeight="1">
      <c r="A16" s="18" t="s">
        <v>1</v>
      </c>
      <c r="B16" s="21"/>
      <c r="C16" s="78"/>
      <c r="D16" s="78"/>
      <c r="E16" s="78"/>
      <c r="F16" s="78"/>
      <c r="G16" s="78"/>
      <c r="H16" s="78"/>
      <c r="I16" s="33"/>
      <c r="J16" s="10"/>
      <c r="K16" s="11"/>
    </row>
    <row r="17" spans="1:12" ht="30" customHeight="1">
      <c r="A17" s="18" t="s">
        <v>2</v>
      </c>
      <c r="B17" s="23"/>
      <c r="C17" s="79"/>
      <c r="D17" s="79"/>
      <c r="E17" s="79"/>
      <c r="F17" s="79"/>
      <c r="G17" s="79"/>
      <c r="H17" s="79"/>
      <c r="I17" s="23"/>
      <c r="J17" s="10"/>
      <c r="K17" s="11"/>
    </row>
    <row r="18" spans="1:12" ht="30" customHeight="1">
      <c r="A18" s="18" t="s">
        <v>1</v>
      </c>
      <c r="B18" s="21"/>
      <c r="C18" s="78"/>
      <c r="D18" s="78"/>
      <c r="E18" s="78"/>
      <c r="F18" s="78"/>
      <c r="G18" s="78"/>
      <c r="H18" s="78"/>
      <c r="I18" s="32"/>
      <c r="J18" s="10"/>
      <c r="K18" s="11"/>
    </row>
    <row r="19" spans="1:12" ht="30" customHeight="1">
      <c r="A19" s="18" t="s">
        <v>2</v>
      </c>
      <c r="B19" s="23"/>
      <c r="C19" s="79"/>
      <c r="D19" s="79"/>
      <c r="E19" s="79"/>
      <c r="F19" s="79"/>
      <c r="G19" s="79"/>
      <c r="H19" s="79"/>
      <c r="I19" s="34"/>
      <c r="J19" s="36"/>
      <c r="K19" s="37"/>
      <c r="L19" s="38"/>
    </row>
    <row r="20" spans="1:12" ht="30" customHeight="1">
      <c r="A20" s="18" t="s">
        <v>1</v>
      </c>
      <c r="B20" s="21"/>
      <c r="C20" s="78"/>
      <c r="D20" s="78"/>
      <c r="E20" s="78"/>
      <c r="F20" s="78"/>
      <c r="G20" s="78"/>
      <c r="H20" s="78"/>
      <c r="I20" s="32"/>
      <c r="J20" s="10" t="s">
        <v>20</v>
      </c>
      <c r="K20" s="35"/>
    </row>
    <row r="21" spans="1:12" ht="30" customHeight="1">
      <c r="A21" s="18" t="s">
        <v>2</v>
      </c>
      <c r="B21" s="23"/>
      <c r="C21" s="79"/>
      <c r="D21" s="79"/>
      <c r="E21" s="79"/>
      <c r="F21" s="79"/>
      <c r="G21" s="79"/>
      <c r="H21" s="79"/>
      <c r="I21" s="23"/>
      <c r="J21" s="10"/>
      <c r="K21" s="11"/>
    </row>
    <row r="22" spans="1:12" ht="30" customHeight="1">
      <c r="A22" s="18" t="s">
        <v>1</v>
      </c>
      <c r="B22" s="21"/>
      <c r="C22" s="78"/>
      <c r="D22" s="78"/>
      <c r="E22" s="78"/>
      <c r="F22" s="78"/>
      <c r="G22" s="78"/>
      <c r="H22" s="78"/>
      <c r="I22" s="32"/>
      <c r="J22" s="10"/>
      <c r="K22" s="11"/>
    </row>
    <row r="23" spans="1:12" ht="30" customHeight="1">
      <c r="A23" s="18" t="s">
        <v>2</v>
      </c>
      <c r="B23" s="23"/>
      <c r="C23" s="79"/>
      <c r="D23" s="79"/>
      <c r="E23" s="79"/>
      <c r="F23" s="79"/>
      <c r="G23" s="79"/>
      <c r="H23" s="79"/>
      <c r="I23" s="23"/>
      <c r="J23" s="10"/>
      <c r="K23" s="11"/>
    </row>
    <row r="24" spans="1:12" ht="30" customHeight="1">
      <c r="A24" s="18" t="s">
        <v>1</v>
      </c>
      <c r="B24" s="21"/>
      <c r="C24" s="78"/>
      <c r="D24" s="78"/>
      <c r="E24" s="78"/>
      <c r="F24" s="78"/>
      <c r="G24" s="78"/>
      <c r="H24" s="78"/>
      <c r="I24" s="32"/>
      <c r="J24" s="10"/>
      <c r="K24" s="11"/>
    </row>
    <row r="25" spans="1:12" ht="30" customHeight="1">
      <c r="A25" s="18" t="s">
        <v>2</v>
      </c>
      <c r="B25" s="23"/>
      <c r="C25" s="79"/>
      <c r="D25" s="79"/>
      <c r="E25" s="79"/>
      <c r="F25" s="79"/>
      <c r="G25" s="79"/>
      <c r="H25" s="79"/>
      <c r="I25" s="23"/>
      <c r="J25" s="36"/>
      <c r="K25" s="37"/>
      <c r="L25" s="38"/>
    </row>
    <row r="26" spans="1:12" ht="30" customHeight="1">
      <c r="A26" s="18" t="s">
        <v>1</v>
      </c>
      <c r="B26" s="21"/>
      <c r="C26" s="78"/>
      <c r="D26" s="78"/>
      <c r="E26" s="78"/>
      <c r="F26" s="78"/>
      <c r="G26" s="78"/>
      <c r="H26" s="78"/>
      <c r="I26" s="32"/>
      <c r="J26" s="10" t="s">
        <v>21</v>
      </c>
      <c r="K26" s="35"/>
    </row>
    <row r="27" spans="1:12" ht="30" customHeight="1">
      <c r="A27" s="18" t="s">
        <v>2</v>
      </c>
      <c r="B27" s="23"/>
      <c r="C27" s="79"/>
      <c r="D27" s="79"/>
      <c r="E27" s="79"/>
      <c r="F27" s="79"/>
      <c r="G27" s="79"/>
      <c r="H27" s="79"/>
      <c r="I27" s="23"/>
      <c r="J27" s="10"/>
      <c r="K27" s="11"/>
    </row>
    <row r="28" spans="1:12" ht="30" customHeight="1">
      <c r="A28" s="18" t="s">
        <v>1</v>
      </c>
      <c r="B28" s="21"/>
      <c r="C28" s="78"/>
      <c r="D28" s="78"/>
      <c r="E28" s="78"/>
      <c r="F28" s="78"/>
      <c r="G28" s="78"/>
      <c r="H28" s="78"/>
      <c r="I28" s="32"/>
      <c r="J28" s="10"/>
      <c r="K28" s="11"/>
    </row>
    <row r="29" spans="1:12" ht="30" customHeight="1">
      <c r="A29" s="18" t="s">
        <v>2</v>
      </c>
      <c r="B29" s="23"/>
      <c r="C29" s="79"/>
      <c r="D29" s="79"/>
      <c r="E29" s="79"/>
      <c r="F29" s="79"/>
      <c r="G29" s="79"/>
      <c r="H29" s="79"/>
      <c r="I29" s="23"/>
      <c r="J29" s="10"/>
      <c r="K29" s="11"/>
    </row>
    <row r="30" spans="1:12" ht="30" customHeight="1">
      <c r="A30" s="18" t="s">
        <v>1</v>
      </c>
      <c r="B30" s="21"/>
      <c r="C30" s="78"/>
      <c r="D30" s="78"/>
      <c r="E30" s="78"/>
      <c r="F30" s="78"/>
      <c r="G30" s="78"/>
      <c r="H30" s="78"/>
      <c r="I30" s="32"/>
      <c r="J30" s="10"/>
      <c r="K30" s="11"/>
    </row>
    <row r="31" spans="1:12" ht="30" customHeight="1">
      <c r="A31" s="18" t="s">
        <v>2</v>
      </c>
      <c r="B31" s="27"/>
      <c r="C31" s="80"/>
      <c r="D31" s="80"/>
      <c r="E31" s="80"/>
      <c r="F31" s="80"/>
      <c r="G31" s="80"/>
      <c r="H31" s="80"/>
      <c r="I31" s="27"/>
      <c r="J31" s="10"/>
      <c r="K31" s="14"/>
      <c r="L31" s="40"/>
    </row>
  </sheetData>
  <mergeCells count="63">
    <mergeCell ref="C31:D31"/>
    <mergeCell ref="E31:F31"/>
    <mergeCell ref="G31:H31"/>
    <mergeCell ref="C29:D29"/>
    <mergeCell ref="E29:F29"/>
    <mergeCell ref="G29:H29"/>
    <mergeCell ref="C30:D30"/>
    <mergeCell ref="E30:F30"/>
    <mergeCell ref="G30:H30"/>
    <mergeCell ref="C27:D27"/>
    <mergeCell ref="E27:F27"/>
    <mergeCell ref="G27:H27"/>
    <mergeCell ref="C28:D28"/>
    <mergeCell ref="E28:F28"/>
    <mergeCell ref="G28:H28"/>
    <mergeCell ref="C25:D25"/>
    <mergeCell ref="E25:F25"/>
    <mergeCell ref="G25:H25"/>
    <mergeCell ref="C26:D26"/>
    <mergeCell ref="E26:F26"/>
    <mergeCell ref="G26:H26"/>
    <mergeCell ref="C23:D23"/>
    <mergeCell ref="E23:F23"/>
    <mergeCell ref="G23:H23"/>
    <mergeCell ref="C24:D24"/>
    <mergeCell ref="E24:F24"/>
    <mergeCell ref="G24:H24"/>
    <mergeCell ref="C21:D21"/>
    <mergeCell ref="E21:F21"/>
    <mergeCell ref="G21:H21"/>
    <mergeCell ref="C22:D22"/>
    <mergeCell ref="E22:F22"/>
    <mergeCell ref="G22:H22"/>
    <mergeCell ref="C19:D19"/>
    <mergeCell ref="E19:F19"/>
    <mergeCell ref="G19:H19"/>
    <mergeCell ref="C20:D20"/>
    <mergeCell ref="E20:F20"/>
    <mergeCell ref="G20:H20"/>
    <mergeCell ref="C17:D17"/>
    <mergeCell ref="E17:F17"/>
    <mergeCell ref="G17:H17"/>
    <mergeCell ref="C18:D18"/>
    <mergeCell ref="E18:F18"/>
    <mergeCell ref="G18:H18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C11:D11"/>
    <mergeCell ref="E11:F11"/>
    <mergeCell ref="G11:H11"/>
    <mergeCell ref="C12:D12"/>
    <mergeCell ref="E12:F12"/>
    <mergeCell ref="G12:H12"/>
  </mergeCells>
  <phoneticPr fontId="31" type="noConversion"/>
  <conditionalFormatting sqref="B12:I12 B14:I14 B16:I16 B18:I18 B20:I20 B22:I22 B24:I24 B26:I26 B28:I28 B30:I30">
    <cfRule type="expression" dxfId="6" priority="3">
      <formula>B12&lt;&gt;""</formula>
    </cfRule>
  </conditionalFormatting>
  <conditionalFormatting sqref="B12:I31">
    <cfRule type="expression" dxfId="5" priority="1">
      <formula>COLUMN(B12)&gt;2</formula>
    </cfRule>
  </conditionalFormatting>
  <conditionalFormatting sqref="B13:I13 B15:I15 B17:I17 B19:I19 B21:I21 B23:I23 B25:I25 B27:I27 B29:I29 B31:I31">
    <cfRule type="expression" dxfId="4" priority="4">
      <formula>B13&lt;&gt;""</formula>
    </cfRule>
  </conditionalFormatting>
  <conditionalFormatting sqref="B13:I13 B15:I15 B17:I17 B19:I19 B21:I21 B23:I23 B25:I25 B27:I27 B29:I29">
    <cfRule type="expression" dxfId="3" priority="2">
      <formula>COLUMN(B13)&gt;=2</formula>
    </cfRule>
  </conditionalFormatting>
  <conditionalFormatting sqref="C3:H3">
    <cfRule type="expression" dxfId="2" priority="6" stopIfTrue="1">
      <formula>DAY(C3)&gt;8</formula>
    </cfRule>
  </conditionalFormatting>
  <conditionalFormatting sqref="C3:I8">
    <cfRule type="expression" dxfId="1" priority="7">
      <formula>VLOOKUP(DAY(C3),作業日期,1,FALSE)=DAY(C3)</formula>
    </cfRule>
  </conditionalFormatting>
  <conditionalFormatting sqref="C7:I8">
    <cfRule type="expression" dxfId="0" priority="5" stopIfTrue="1">
      <formula>AND(DAY(C7)&gt;=1,DAY(C7)&lt;=15)</formula>
    </cfRule>
  </conditionalFormatting>
  <dataValidations xWindow="282" yWindow="780" count="13">
    <dataValidation allowBlank="1" showInputMessage="1" showErrorMessage="1" prompt="6 月行事曆會自動醒目提示當月的作業清單項目。較深色的字型表示該日期有作業。較淺色的字型表示屬於上個月或下個月的日期" sqref="B2" xr:uid="{00000000-0002-0000-0500-000000000000}"/>
    <dataValidation allowBlank="1" showInputMessage="1" showErrorMessage="1" prompt="行事曆年份會自動更新。若要變更年份，請更新 [1 月] 工作表中的儲存格 B1" sqref="B1" xr:uid="{00000000-0002-0000-0500-000001000000}"/>
    <dataValidation allowBlank="1" showInputMessage="1" showErrorMessage="1" prompt="在此工作表中排定每週課表與建立作業清單。在 [1 月] 工作表的儲存格 B1 中輸入之年份的每月行事曆中，會自動醒目提示相關作業" sqref="A1" xr:uid="{00000000-0002-0000-0500-000002000000}"/>
    <dataValidation allowBlank="1" showInputMessage="1" showErrorMessage="1" prompt="儲存格 C2:I2 包含工作日" sqref="C2:D2" xr:uid="{E5383FE3-679E-46D7-975A-E2E709910F9C}"/>
    <dataValidation allowBlank="1" showInputMessage="1" showErrorMessage="1" prompt="如果此儲存格中沒有數字 1，就表示它是上個月的日期。儲存格 C3:I8 包含當月的日期" sqref="C3" xr:uid="{00000000-0002-0000-0500-000004000000}"/>
    <dataValidation allowBlank="1" showInputMessage="1" showErrorMessage="1" prompt="如果此列中的數字小於前面的數字或前一列的數字，則此列會包含下個行事曆月份的日期" sqref="C8" xr:uid="{00000000-0002-0000-0500-000005000000}"/>
    <dataValidation allowBlank="1" showInputMessage="1" showErrorMessage="1" prompt="在此列的欄 B 到欄 I 中輸入時間" sqref="B12" xr:uid="{00000000-0002-0000-0500-000006000000}"/>
    <dataValidation allowBlank="1" showInputMessage="1" showErrorMessage="1" prompt="在此列的欄 B 到欄 I 中輸入課程" sqref="B13" xr:uid="{00000000-0002-0000-0500-000007000000}"/>
    <dataValidation allowBlank="1" showInputMessage="1" showErrorMessage="1" prompt="此欄依星期幾分組，每組包含 6 個列，用於記錄當月依每個星期幾分組的作業。插入新列即可新增更多作業。左側的行事曆會醒目提示相關項目" sqref="J1" xr:uid="{00000000-0002-0000-0500-000008000000}"/>
    <dataValidation allowBlank="1" showInputMessage="1" showErrorMessage="1" prompt="在此欄中輸入與左側行事曆月份欄 J 中的星期幾以及欄 K 中的日期相對應的作業詳細資料" sqref="L1" xr:uid="{00000000-0002-0000-0500-000009000000}"/>
    <dataValidation allowBlank="1" showInputMessage="1" showErrorMessage="1" prompt="在此欄中輸入與欄 J 中的星期幾相對應的當月作業日期。左側行事曆中的這個日期會醒目提示相關作業" sqref="K1" xr:uid="{00000000-0002-0000-0500-00000A000000}"/>
    <dataValidation allowBlank="1" showInputMessage="1" showErrorMessage="1" prompt="此列為星期幾，包括星期一到星期五" sqref="B11" xr:uid="{00000000-0002-0000-0500-00000B000000}"/>
    <dataValidation allowBlank="1" showInputMessage="1" showErrorMessage="1" prompt="輸入課程的時間，並在底下新列中的欄 B 到欄 I 的每個星期幾中輸入課程名稱。在後續各列中，針對所有課程重複此輸入方式" sqref="B10" xr:uid="{00000000-0002-0000-0500-00000C000000}"/>
  </dataValidations>
  <printOptions horizontalCentered="1" verticalCentered="1"/>
  <pageMargins left="0.5" right="0.5" top="0.5" bottom="0.5" header="0.3" footer="0.3"/>
  <pageSetup paperSize="9" scale="56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426e97fa315356fffbdcd9876fe988c2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14b8f0def80e6d70ce3def20c90759a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71af3243-3dd4-4a8d-8c0d-dd76da1f02a5">Not started</Status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C134D-EF26-4489-BF4F-D004AB4EA7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598FAC-F6FB-41C1-A8B5-3788F9907361}">
  <ds:schemaRefs>
    <ds:schemaRef ds:uri="http://schemas.microsoft.com/office/2006/documentManagement/types"/>
    <ds:schemaRef ds:uri="16c05727-aa75-4e4a-9b5f-8a80a1165891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71af3243-3dd4-4a8d-8c0d-dd76da1f02a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B00EAF0-7D53-4F2E-A3F0-6ACE8DE5B7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TM03107663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61</vt:i4>
      </vt:variant>
    </vt:vector>
  </HeadingPairs>
  <TitlesOfParts>
    <vt:vector size="73" baseType="lpstr">
      <vt:lpstr>7月</vt:lpstr>
      <vt:lpstr>8月</vt:lpstr>
      <vt:lpstr>9月</vt:lpstr>
      <vt:lpstr>10月</vt:lpstr>
      <vt:lpstr>11月</vt:lpstr>
      <vt:lpstr>12月</vt:lpstr>
      <vt:lpstr>1月</vt:lpstr>
      <vt:lpstr>2月</vt:lpstr>
      <vt:lpstr>3月</vt:lpstr>
      <vt:lpstr>4月</vt:lpstr>
      <vt:lpstr>5月</vt:lpstr>
      <vt:lpstr>6月</vt:lpstr>
      <vt:lpstr>行事曆年份</vt:lpstr>
      <vt:lpstr>'10月'!作業日期</vt:lpstr>
      <vt:lpstr>'11月'!作業日期</vt:lpstr>
      <vt:lpstr>'12月'!作業日期</vt:lpstr>
      <vt:lpstr>'2月'!作業日期</vt:lpstr>
      <vt:lpstr>'3月'!作業日期</vt:lpstr>
      <vt:lpstr>'4月'!作業日期</vt:lpstr>
      <vt:lpstr>'5月'!作業日期</vt:lpstr>
      <vt:lpstr>'6月'!作業日期</vt:lpstr>
      <vt:lpstr>'7月'!作業日期</vt:lpstr>
      <vt:lpstr>'8月'!作業日期</vt:lpstr>
      <vt:lpstr>'9月'!作業日期</vt:lpstr>
      <vt:lpstr>作業日期</vt:lpstr>
      <vt:lpstr>'10月'!重要日期表格</vt:lpstr>
      <vt:lpstr>'11月'!重要日期表格</vt:lpstr>
      <vt:lpstr>'12月'!重要日期表格</vt:lpstr>
      <vt:lpstr>'2月'!重要日期表格</vt:lpstr>
      <vt:lpstr>'3月'!重要日期表格</vt:lpstr>
      <vt:lpstr>'4月'!重要日期表格</vt:lpstr>
      <vt:lpstr>'5月'!重要日期表格</vt:lpstr>
      <vt:lpstr>'6月'!重要日期表格</vt:lpstr>
      <vt:lpstr>'7月'!重要日期表格</vt:lpstr>
      <vt:lpstr>'8月'!重要日期表格</vt:lpstr>
      <vt:lpstr>'9月'!重要日期表格</vt:lpstr>
      <vt:lpstr>重要日期表格</vt:lpstr>
      <vt:lpstr>標題區域2..I31.1</vt:lpstr>
      <vt:lpstr>標題區域2..I31.10</vt:lpstr>
      <vt:lpstr>標題區域2..I31.11</vt:lpstr>
      <vt:lpstr>標題區域2..I31.12</vt:lpstr>
      <vt:lpstr>標題區域2..I31.2</vt:lpstr>
      <vt:lpstr>標題區域2..I31.3</vt:lpstr>
      <vt:lpstr>標題區域2..I31.4</vt:lpstr>
      <vt:lpstr>標題區域2..I31.5</vt:lpstr>
      <vt:lpstr>標題區域2..I31.6</vt:lpstr>
      <vt:lpstr>標題區域2..I31.7</vt:lpstr>
      <vt:lpstr>標題區域2..I31.8</vt:lpstr>
      <vt:lpstr>標題區域2..I31.9</vt:lpstr>
      <vt:lpstr>欄標題1</vt:lpstr>
      <vt:lpstr>欄標題10</vt:lpstr>
      <vt:lpstr>欄標題11</vt:lpstr>
      <vt:lpstr>欄標題12</vt:lpstr>
      <vt:lpstr>欄標題2</vt:lpstr>
      <vt:lpstr>欄標題3</vt:lpstr>
      <vt:lpstr>欄標題4</vt:lpstr>
      <vt:lpstr>欄標題5</vt:lpstr>
      <vt:lpstr>欄標題6</vt:lpstr>
      <vt:lpstr>欄標題7</vt:lpstr>
      <vt:lpstr>欄標題8</vt:lpstr>
      <vt:lpstr>欄標題9</vt:lpstr>
      <vt:lpstr>欄標題區域1..I8.1</vt:lpstr>
      <vt:lpstr>欄標題區域1..I8.10</vt:lpstr>
      <vt:lpstr>欄標題區域1..I8.11</vt:lpstr>
      <vt:lpstr>欄標題區域1..I8.12</vt:lpstr>
      <vt:lpstr>欄標題區域1..I8.2</vt:lpstr>
      <vt:lpstr>欄標題區域1..I8.3</vt:lpstr>
      <vt:lpstr>欄標題區域1..I8.4</vt:lpstr>
      <vt:lpstr>欄標題區域1..I8.5</vt:lpstr>
      <vt:lpstr>欄標題區域1..I8.6</vt:lpstr>
      <vt:lpstr>欄標題區域1..I8.7</vt:lpstr>
      <vt:lpstr>欄標題區域1..I8.8</vt:lpstr>
      <vt:lpstr>欄標題區域1..I8.9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2020-07-08T21:07:10Z</dcterms:created>
  <dcterms:modified xsi:type="dcterms:W3CDTF">2026-07-14T09:38:32Z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